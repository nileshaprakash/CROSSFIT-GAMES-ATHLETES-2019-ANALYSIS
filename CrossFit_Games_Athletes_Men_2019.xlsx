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8c0ca784bb7eb/Desktop/entri/mini project/"/>
    </mc:Choice>
  </mc:AlternateContent>
  <xr:revisionPtr revIDLastSave="154" documentId="13_ncr:1_{1515BA33-A70C-464D-AE9E-2B1F31230DFE}" xr6:coauthVersionLast="47" xr6:coauthVersionMax="47" xr10:uidLastSave="{4B7FDE64-0FB8-4463-A8A5-397392F709FF}"/>
  <bookViews>
    <workbookView xWindow="-108" yWindow="-108" windowWidth="23256" windowHeight="12456" xr2:uid="{FEF731CB-C216-401D-9C22-42751F87F959}"/>
  </bookViews>
  <sheets>
    <sheet name="Sheet1" sheetId="2" r:id="rId1"/>
  </sheets>
  <definedNames>
    <definedName name="_xlnm._FilterDatabase" localSheetId="0" hidden="1">Sheet1!$B$1:$B$204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2A751C-1945-4EB8-8643-EC8F265A2065}" keepAlive="1" name="Query - 2019_games_athletes_men" description="Connection to the '2019_games_athletes_men' query in the workbook." type="5" refreshedVersion="8" background="1" saveData="1">
    <dbPr connection="Provider=Microsoft.Mashup.OleDb.1;Data Source=$Workbook$;Location=2019_games_athletes_men;Extended Properties=&quot;&quot;" command="SELECT * FROM [2019_games_athletes_men]"/>
  </connection>
</connections>
</file>

<file path=xl/sharedStrings.xml><?xml version="1.0" encoding="utf-8"?>
<sst xmlns="http://schemas.openxmlformats.org/spreadsheetml/2006/main" count="1465" uniqueCount="978">
  <si>
    <t>height</t>
  </si>
  <si>
    <t>affiliateid</t>
  </si>
  <si>
    <t>countryoforiginname</t>
  </si>
  <si>
    <t>weight</t>
  </si>
  <si>
    <t>affiliatename</t>
  </si>
  <si>
    <t>status</t>
  </si>
  <si>
    <t>bibid</t>
  </si>
  <si>
    <t>profilepics3key</t>
  </si>
  <si>
    <t>age</t>
  </si>
  <si>
    <t>lastname</t>
  </si>
  <si>
    <t>overallrank</t>
  </si>
  <si>
    <t>overallscore</t>
  </si>
  <si>
    <t>Number of Records</t>
  </si>
  <si>
    <t>United States</t>
  </si>
  <si>
    <t>CrossFit Mayhem</t>
  </si>
  <si>
    <t>ACT</t>
  </si>
  <si>
    <t>9e218-P153604_4-184.jpg</t>
  </si>
  <si>
    <t>Mathew</t>
  </si>
  <si>
    <t>Fraser</t>
  </si>
  <si>
    <t>US</t>
  </si>
  <si>
    <t>Peak 360 CrossFit</t>
  </si>
  <si>
    <t>0a0bc-P2725_5-184.jpg</t>
  </si>
  <si>
    <t>Noah</t>
  </si>
  <si>
    <t>Ohlsen</t>
  </si>
  <si>
    <t>Iceland</t>
  </si>
  <si>
    <t>CrossFit Hengill</t>
  </si>
  <si>
    <t>4c5dc-P81616_4-184.jpg</t>
  </si>
  <si>
    <t>IS</t>
  </si>
  <si>
    <t>CrossFit Mentality</t>
  </si>
  <si>
    <t>e23e0-P34796_8-184.jpg</t>
  </si>
  <si>
    <t>Scott</t>
  </si>
  <si>
    <t>Panchik</t>
  </si>
  <si>
    <t>Australia</t>
  </si>
  <si>
    <t>CrossFit Mode</t>
  </si>
  <si>
    <t>b7c6d-P16080_7-184.jpg</t>
  </si>
  <si>
    <t>James</t>
  </si>
  <si>
    <t>Newbury</t>
  </si>
  <si>
    <t>AU</t>
  </si>
  <si>
    <t>Cobra Command CrossFit</t>
  </si>
  <si>
    <t>d1ef5-P199938_3-184.jpg</t>
  </si>
  <si>
    <t>Jacob</t>
  </si>
  <si>
    <t>Heppner</t>
  </si>
  <si>
    <t>CrossFit Crossaxed</t>
  </si>
  <si>
    <t>41bf6-P660204_5-184.jpg</t>
  </si>
  <si>
    <t>Matt</t>
  </si>
  <si>
    <t>Mcleod</t>
  </si>
  <si>
    <t>Switzerland</t>
  </si>
  <si>
    <t>ff2d6-P698182_6-184.jpg</t>
  </si>
  <si>
    <t>Adrian</t>
  </si>
  <si>
    <t>Mundwiler</t>
  </si>
  <si>
    <t>CH</t>
  </si>
  <si>
    <t>CrossFit Cliffside</t>
  </si>
  <si>
    <t>00087-P310970_11-184.jpg</t>
  </si>
  <si>
    <t>Saxon</t>
  </si>
  <si>
    <t>CrossFit Trivium</t>
  </si>
  <si>
    <t>d3cc2-P35627_6-184.jpg</t>
  </si>
  <si>
    <t>Will</t>
  </si>
  <si>
    <t>Moorad</t>
  </si>
  <si>
    <t>CrossFit Spokane Valley</t>
  </si>
  <si>
    <t>CUT</t>
  </si>
  <si>
    <t>ce316-P153625_5-184.jpg</t>
  </si>
  <si>
    <t>Cole</t>
  </si>
  <si>
    <t>Sager</t>
  </si>
  <si>
    <t>CrossFit Passion</t>
  </si>
  <si>
    <t>9de68-P1690_5-184.jpg</t>
  </si>
  <si>
    <t>Travis</t>
  </si>
  <si>
    <t>Mayer</t>
  </si>
  <si>
    <t>a9afa-P74320_4-184.jpg</t>
  </si>
  <si>
    <t>Samuel</t>
  </si>
  <si>
    <t>Kwant</t>
  </si>
  <si>
    <t>CrossFit Rejoice</t>
  </si>
  <si>
    <t>5afca-P123764_4-184.jpg</t>
  </si>
  <si>
    <t>Logan</t>
  </si>
  <si>
    <t>Collins</t>
  </si>
  <si>
    <t>CrossFit Sacrifice</t>
  </si>
  <si>
    <t>22a7d-P469626_5-184.jpg</t>
  </si>
  <si>
    <t>Chandler</t>
  </si>
  <si>
    <t>Smith</t>
  </si>
  <si>
    <t>Canada</t>
  </si>
  <si>
    <t>CrossFit Solid Ground</t>
  </si>
  <si>
    <t>d471c-P158264_7-184.jpg</t>
  </si>
  <si>
    <t>Patrick</t>
  </si>
  <si>
    <t>Vellner</t>
  </si>
  <si>
    <t>CA</t>
  </si>
  <si>
    <t>Sweden</t>
  </si>
  <si>
    <t>CrossFit Nordic</t>
  </si>
  <si>
    <t>0c02c-P24309_6-184.jpg</t>
  </si>
  <si>
    <t>Lukas</t>
  </si>
  <si>
    <t>SE</t>
  </si>
  <si>
    <t>Germany</t>
  </si>
  <si>
    <t>CrossFit Flensburg</t>
  </si>
  <si>
    <t>565d0-P286691_2-184.jpg</t>
  </si>
  <si>
    <t>Joshua</t>
  </si>
  <si>
    <t>Wichtrup</t>
  </si>
  <si>
    <t>DE</t>
  </si>
  <si>
    <t>United Kingdom</t>
  </si>
  <si>
    <t>CrossFit Yas</t>
  </si>
  <si>
    <t>ae97a-P86089_6-184.jpg</t>
  </si>
  <si>
    <t>Elliot</t>
  </si>
  <si>
    <t>Simmonds</t>
  </si>
  <si>
    <t>GB</t>
  </si>
  <si>
    <t>Denmark</t>
  </si>
  <si>
    <t>CrossFit Skodsborg</t>
  </si>
  <si>
    <t>0e8b6-P230757_2-184.jpg</t>
  </si>
  <si>
    <t>Casper</t>
  </si>
  <si>
    <t>Gammelmark</t>
  </si>
  <si>
    <t>DK</t>
  </si>
  <si>
    <t>France</t>
  </si>
  <si>
    <t>CrossFit Lutece</t>
  </si>
  <si>
    <t>9ca60-P702092_3-184.jpg</t>
  </si>
  <si>
    <t>Willy</t>
  </si>
  <si>
    <t>Georges</t>
  </si>
  <si>
    <t>FR</t>
  </si>
  <si>
    <t>Solidarity CrossFit</t>
  </si>
  <si>
    <t>b72ee-P111592_7-184.jpg</t>
  </si>
  <si>
    <t>Connor</t>
  </si>
  <si>
    <t>Duddy</t>
  </si>
  <si>
    <t>Kelowna CrossFit</t>
  </si>
  <si>
    <t>1780d-P107101_9-184.jpg</t>
  </si>
  <si>
    <t>Brent</t>
  </si>
  <si>
    <t>Fikowski</t>
  </si>
  <si>
    <t>CrossFit Powerstroke</t>
  </si>
  <si>
    <t>a0a86-P134617_10-184.jpg</t>
  </si>
  <si>
    <t>Sean</t>
  </si>
  <si>
    <t>Sweeney</t>
  </si>
  <si>
    <t>CrossFit Quebec City</t>
  </si>
  <si>
    <t>ebe1c-P180541_4-184.jpg</t>
  </si>
  <si>
    <t>Alex</t>
  </si>
  <si>
    <t>Vigneault</t>
  </si>
  <si>
    <t>Ireland</t>
  </si>
  <si>
    <t>CrossFit 8020</t>
  </si>
  <si>
    <t>15913-P461734_4-184.jpg</t>
  </si>
  <si>
    <t>Michael</t>
  </si>
  <si>
    <t>IE</t>
  </si>
  <si>
    <t>China</t>
  </si>
  <si>
    <t>CrossFit CFPT</t>
  </si>
  <si>
    <t>7aece-P23655_2-184.jpg</t>
  </si>
  <si>
    <t>Ant</t>
  </si>
  <si>
    <t>Haynes</t>
  </si>
  <si>
    <t>CN</t>
  </si>
  <si>
    <t>CrossFit Krypton</t>
  </si>
  <si>
    <t>eab2e-P43761_13-184.jpg</t>
  </si>
  <si>
    <t>Ben</t>
  </si>
  <si>
    <t>South Africa</t>
  </si>
  <si>
    <t>CrossFit Kyalami</t>
  </si>
  <si>
    <t>f2583-P120333_4-184.jpg</t>
  </si>
  <si>
    <t>Jason</t>
  </si>
  <si>
    <t>ZA</t>
  </si>
  <si>
    <t>Ft. Wright CrossFit</t>
  </si>
  <si>
    <t>cb045-P682551_3-184.jpg</t>
  </si>
  <si>
    <t>Ryan</t>
  </si>
  <si>
    <t>Sowder</t>
  </si>
  <si>
    <t>Latvia</t>
  </si>
  <si>
    <t>CrossFit Riga</t>
  </si>
  <si>
    <t>cf540-P472642_5-184.jpg</t>
  </si>
  <si>
    <t>Uldis</t>
  </si>
  <si>
    <t>Upenieks</t>
  </si>
  <si>
    <t>LV</t>
  </si>
  <si>
    <t>BrewCity CrossFit</t>
  </si>
  <si>
    <t>79ace-P329279_12-184.jpg</t>
  </si>
  <si>
    <t>George</t>
  </si>
  <si>
    <t>Sterner</t>
  </si>
  <si>
    <t>CrossFit Wonderland</t>
  </si>
  <si>
    <t>e480e-P469656_1-184.jpg</t>
  </si>
  <si>
    <t>Jeffrey</t>
  </si>
  <si>
    <t>Adler</t>
  </si>
  <si>
    <t>CrossFit Kreis 9</t>
  </si>
  <si>
    <t>b98a5-P2766_6-184.jpg</t>
  </si>
  <si>
    <t>Esslinger</t>
  </si>
  <si>
    <t>Deka CrossFit</t>
  </si>
  <si>
    <t>ab5f0-P327636_3-184.jpg</t>
  </si>
  <si>
    <t>Cournoyer</t>
  </si>
  <si>
    <t>CrossFit Lionmode</t>
  </si>
  <si>
    <t>1ce47-P8690_5-184.jpg</t>
  </si>
  <si>
    <t>Dean</t>
  </si>
  <si>
    <t>Linder-Leighton</t>
  </si>
  <si>
    <t>Finland</t>
  </si>
  <si>
    <t>9f8e1-P173837_3-184.jpg</t>
  </si>
  <si>
    <t>Jonne</t>
  </si>
  <si>
    <t>Koski</t>
  </si>
  <si>
    <t>FI</t>
  </si>
  <si>
    <t>CrossFit Invictus</t>
  </si>
  <si>
    <t>a0d02-P28040_5-184.jpg</t>
  </si>
  <si>
    <t>Eric</t>
  </si>
  <si>
    <t>Carmody</t>
  </si>
  <si>
    <t>LumberYard CrossFit</t>
  </si>
  <si>
    <t>709b2-P501728_4-184.jpg</t>
  </si>
  <si>
    <t>Carroll</t>
  </si>
  <si>
    <t>Norway</t>
  </si>
  <si>
    <t>CrossFit Sandvika</t>
  </si>
  <si>
    <t>5b3bf-P542883_2-184.jpg</t>
  </si>
  <si>
    <t>Nicolay</t>
  </si>
  <si>
    <t>Billaudel</t>
  </si>
  <si>
    <t>NO</t>
  </si>
  <si>
    <t>CrossFit Fond du Lac</t>
  </si>
  <si>
    <t>907aa-P8325_6-184.jpg</t>
  </si>
  <si>
    <t>Nick</t>
  </si>
  <si>
    <t>Bloch</t>
  </si>
  <si>
    <t>Poland</t>
  </si>
  <si>
    <t>9750f-P250172_2-184.jpg</t>
  </si>
  <si>
    <t>Bronislaw</t>
  </si>
  <si>
    <t>Olenkowicz</t>
  </si>
  <si>
    <t>PL</t>
  </si>
  <si>
    <t>Lithuania</t>
  </si>
  <si>
    <t>CrossFit 82</t>
  </si>
  <si>
    <t>2d23e-P432338_3-184.jpg</t>
  </si>
  <si>
    <t>Arminas</t>
  </si>
  <si>
    <t>Balevicius</t>
  </si>
  <si>
    <t>LT</t>
  </si>
  <si>
    <t>Egypt</t>
  </si>
  <si>
    <t>CrossFit MetaliZe</t>
  </si>
  <si>
    <t>f6b3e-P487949_3-184.jpg</t>
  </si>
  <si>
    <t>Mohamed</t>
  </si>
  <si>
    <t>Elomda</t>
  </si>
  <si>
    <t>EG</t>
  </si>
  <si>
    <t>CrossFit Riders</t>
  </si>
  <si>
    <t>f749d-P106655_3-184.jpg</t>
  </si>
  <si>
    <t>Simon</t>
  </si>
  <si>
    <t>MÃ¤ntylÃ¤</t>
  </si>
  <si>
    <t>Shockoe Bottom CrossFit</t>
  </si>
  <si>
    <t>b1338-P244353_1-184.jpg</t>
  </si>
  <si>
    <t>John-Paul</t>
  </si>
  <si>
    <t>Hethcock</t>
  </si>
  <si>
    <t>Slovenia</t>
  </si>
  <si>
    <t>Reebok CrossFit Ljubljana</t>
  </si>
  <si>
    <t>pukie.png</t>
  </si>
  <si>
    <t>Aleks</t>
  </si>
  <si>
    <t>SI</t>
  </si>
  <si>
    <t>Hungary</t>
  </si>
  <si>
    <t>fabed-P511473_2-184.jpg</t>
  </si>
  <si>
    <t>GÃ¡bor</t>
  </si>
  <si>
    <t>HU</t>
  </si>
  <si>
    <t>Brazil</t>
  </si>
  <si>
    <t>CrossFit Al Ain</t>
  </si>
  <si>
    <t>1853e-P686308_3-184.jpg</t>
  </si>
  <si>
    <t>Guilherme</t>
  </si>
  <si>
    <t>Malheiros</t>
  </si>
  <si>
    <t>BR</t>
  </si>
  <si>
    <t>Argentina</t>
  </si>
  <si>
    <t>7870f-P478414_5-184.jpg</t>
  </si>
  <si>
    <t>Agustin</t>
  </si>
  <si>
    <t>Richelme</t>
  </si>
  <si>
    <t>AR</t>
  </si>
  <si>
    <t>Colombia</t>
  </si>
  <si>
    <t>CrossFit Canarias</t>
  </si>
  <si>
    <t>306d0-P468290_1-184.jpg</t>
  </si>
  <si>
    <t>Bryan</t>
  </si>
  <si>
    <t>CO</t>
  </si>
  <si>
    <t>Belgium</t>
  </si>
  <si>
    <t>CrossFit Albi</t>
  </si>
  <si>
    <t>d7e4d-P677889_5-184.jpg</t>
  </si>
  <si>
    <t>Alban</t>
  </si>
  <si>
    <t>Dubois</t>
  </si>
  <si>
    <t>BE</t>
  </si>
  <si>
    <t>New Zealand</t>
  </si>
  <si>
    <t>Thorndon CrossFit</t>
  </si>
  <si>
    <t>1353d-P221436_10-184.jpg</t>
  </si>
  <si>
    <t>Luke</t>
  </si>
  <si>
    <t>Fiso</t>
  </si>
  <si>
    <t>NZ</t>
  </si>
  <si>
    <t>Mexico</t>
  </si>
  <si>
    <t>CrossFit 3 Sons</t>
  </si>
  <si>
    <t>b159c-P155471_5-184.jpg</t>
  </si>
  <si>
    <t>Darwin</t>
  </si>
  <si>
    <t>Perez</t>
  </si>
  <si>
    <t>MX</t>
  </si>
  <si>
    <t>Guatemala</t>
  </si>
  <si>
    <t>db495-P286311_4-184.jpg</t>
  </si>
  <si>
    <t>Marlon</t>
  </si>
  <si>
    <t>Azurdia</t>
  </si>
  <si>
    <t>GT</t>
  </si>
  <si>
    <t>Russian Federation</t>
  </si>
  <si>
    <t>CrossFit Idol</t>
  </si>
  <si>
    <t>9cea9-P1325298_1-184.jpg</t>
  </si>
  <si>
    <t>Aleksandar</t>
  </si>
  <si>
    <t>Ilin</t>
  </si>
  <si>
    <t>RU</t>
  </si>
  <si>
    <t>Spain</t>
  </si>
  <si>
    <t>CrossFit Zurriola</t>
  </si>
  <si>
    <t>5bcb0-P351417_1-184.jpg</t>
  </si>
  <si>
    <t>Alexander</t>
  </si>
  <si>
    <t>Anasagasti</t>
  </si>
  <si>
    <t>ES</t>
  </si>
  <si>
    <t>United Arab Emirates</t>
  </si>
  <si>
    <t>CrossFit Alioth</t>
  </si>
  <si>
    <t>cae81-P1697328_1-184.jpg</t>
  </si>
  <si>
    <t>Mahmood</t>
  </si>
  <si>
    <t>Shalan</t>
  </si>
  <si>
    <t>AE</t>
  </si>
  <si>
    <t>Slovakia</t>
  </si>
  <si>
    <t>CrossFit BBros</t>
  </si>
  <si>
    <t>f9e0a-P119313_6-184.jpg</t>
  </si>
  <si>
    <t>Erik</t>
  </si>
  <si>
    <t>Toth</t>
  </si>
  <si>
    <t>SK</t>
  </si>
  <si>
    <t>Greece</t>
  </si>
  <si>
    <t>CrossFit North Zone</t>
  </si>
  <si>
    <t>931eb-P514502_2-184.jpg</t>
  </si>
  <si>
    <t>Lefteris</t>
  </si>
  <si>
    <t>Theofanidis</t>
  </si>
  <si>
    <t>GR</t>
  </si>
  <si>
    <t>Turkey</t>
  </si>
  <si>
    <t>CrossFit Boran</t>
  </si>
  <si>
    <t>0cb10-P231921_6-184.jpg</t>
  </si>
  <si>
    <t>Ates</t>
  </si>
  <si>
    <t>Boran</t>
  </si>
  <si>
    <t>TR</t>
  </si>
  <si>
    <t>Precision CrossFit</t>
  </si>
  <si>
    <t>43261-P196667_2-184.jpg</t>
  </si>
  <si>
    <t>Hunter</t>
  </si>
  <si>
    <t>McIntyre</t>
  </si>
  <si>
    <t>Luxembourg</t>
  </si>
  <si>
    <t>60a27-P160128_2-184.jpg</t>
  </si>
  <si>
    <t>Nellans</t>
  </si>
  <si>
    <t>LU</t>
  </si>
  <si>
    <t>Croatia</t>
  </si>
  <si>
    <t>Augustin</t>
  </si>
  <si>
    <t>Vilicnik</t>
  </si>
  <si>
    <t>HR</t>
  </si>
  <si>
    <t>Japan</t>
  </si>
  <si>
    <t>BeeGrow CrossFit</t>
  </si>
  <si>
    <t>fbb8f-P849478_2-184.jpg</t>
  </si>
  <si>
    <t>Shingo</t>
  </si>
  <si>
    <t>Moromasa</t>
  </si>
  <si>
    <t>JP</t>
  </si>
  <si>
    <t>Jordan</t>
  </si>
  <si>
    <t>CrossFit 962</t>
  </si>
  <si>
    <t>e2cfb-P315266_3-184.jpg</t>
  </si>
  <si>
    <t>Amin</t>
  </si>
  <si>
    <t>Attallah</t>
  </si>
  <si>
    <t>JO</t>
  </si>
  <si>
    <t>Venezuela</t>
  </si>
  <si>
    <t>CrossFit 4 L</t>
  </si>
  <si>
    <t>cb959-P270266_2-184.jpg</t>
  </si>
  <si>
    <t>Omar</t>
  </si>
  <si>
    <t>Martinez</t>
  </si>
  <si>
    <t>VE</t>
  </si>
  <si>
    <t>Netherlands</t>
  </si>
  <si>
    <t>CrossFit Finestrat</t>
  </si>
  <si>
    <t>a2893-P423302_1-184.jpg</t>
  </si>
  <si>
    <t>Sam</t>
  </si>
  <si>
    <t>Lubben</t>
  </si>
  <si>
    <t>NL</t>
  </si>
  <si>
    <t>Nigeria</t>
  </si>
  <si>
    <t>85757-P1692338_1-184.jpg</t>
  </si>
  <si>
    <t>Uyi Nosa</t>
  </si>
  <si>
    <t>Osawe</t>
  </si>
  <si>
    <t>NG</t>
  </si>
  <si>
    <t>Austria</t>
  </si>
  <si>
    <t>Triller CrossFit</t>
  </si>
  <si>
    <t>3f1be-P275390_1-184.jpg</t>
  </si>
  <si>
    <t>Christoph</t>
  </si>
  <si>
    <t>Koerner</t>
  </si>
  <si>
    <t>AT</t>
  </si>
  <si>
    <t>Ukraine</t>
  </si>
  <si>
    <t>CrossFit Sea Energy</t>
  </si>
  <si>
    <t>1d878-P470906_2-184.jpg</t>
  </si>
  <si>
    <t>Oleksandr</t>
  </si>
  <si>
    <t>Shkoliarenko</t>
  </si>
  <si>
    <t>UA</t>
  </si>
  <si>
    <t>Bosnia and Herzegovina</t>
  </si>
  <si>
    <t>Tantum CrossFit</t>
  </si>
  <si>
    <t>f6ae1-P667464_4-184.jpg</t>
  </si>
  <si>
    <t>BA</t>
  </si>
  <si>
    <t>Palestinian Territory</t>
  </si>
  <si>
    <t>CrossFit Ramallah</t>
  </si>
  <si>
    <t>db955-P1076087_3-184.jpg</t>
  </si>
  <si>
    <t>Hamzeh</t>
  </si>
  <si>
    <t>Tarefi</t>
  </si>
  <si>
    <t>PS</t>
  </si>
  <si>
    <t>Chile</t>
  </si>
  <si>
    <t>b8edd-P1178252_1-184.jpg</t>
  </si>
  <si>
    <t>Piero</t>
  </si>
  <si>
    <t>Gorichon</t>
  </si>
  <si>
    <t>CL</t>
  </si>
  <si>
    <t>Tunisia</t>
  </si>
  <si>
    <t>298c2-P844066_3-184.jpg</t>
  </si>
  <si>
    <t>Marzougui</t>
  </si>
  <si>
    <t>Mootez</t>
  </si>
  <si>
    <t>TN</t>
  </si>
  <si>
    <t>Zimbabwe</t>
  </si>
  <si>
    <t>CrossFit Dignus</t>
  </si>
  <si>
    <t>433f0-P105253_8-184.jpg</t>
  </si>
  <si>
    <t>Jean-Claude</t>
  </si>
  <si>
    <t>Jardim</t>
  </si>
  <si>
    <t>ZW</t>
  </si>
  <si>
    <t>Kuwait</t>
  </si>
  <si>
    <t>Circuit Plus CrossFit Shuwaikh</t>
  </si>
  <si>
    <t>49d3e-P703126_1-184.jpg</t>
  </si>
  <si>
    <t>Khalid</t>
  </si>
  <si>
    <t>Aljarallah</t>
  </si>
  <si>
    <t>KW</t>
  </si>
  <si>
    <t>Paraguay</t>
  </si>
  <si>
    <t>BIGG CrossFit Herrera</t>
  </si>
  <si>
    <t>70c62-P683220_4-184.jpg</t>
  </si>
  <si>
    <t>Diego</t>
  </si>
  <si>
    <t>Kemper</t>
  </si>
  <si>
    <t>PY</t>
  </si>
  <si>
    <t>Romania</t>
  </si>
  <si>
    <t>dcd71-P213806_3-184.jpg</t>
  </si>
  <si>
    <t>Severin</t>
  </si>
  <si>
    <t>Irimia</t>
  </si>
  <si>
    <t>RO</t>
  </si>
  <si>
    <t>Belize</t>
  </si>
  <si>
    <t>CrossFit Subterranean</t>
  </si>
  <si>
    <t>c6cea-P1523179_7-184.jpg</t>
  </si>
  <si>
    <t>Vernon</t>
  </si>
  <si>
    <t>Neal</t>
  </si>
  <si>
    <t>BZ</t>
  </si>
  <si>
    <t>Portugal</t>
  </si>
  <si>
    <t>CrossFit OPO</t>
  </si>
  <si>
    <t>50ca1-P233855_8-184.jpg</t>
  </si>
  <si>
    <t>JoÃ£o</t>
  </si>
  <si>
    <t>Ferreira</t>
  </si>
  <si>
    <t>PT</t>
  </si>
  <si>
    <t>Dominican Republic</t>
  </si>
  <si>
    <t>CrossFit Steel Factory</t>
  </si>
  <si>
    <t>6518d-P256607_4-184.jpg</t>
  </si>
  <si>
    <t>Eusebio</t>
  </si>
  <si>
    <t>Aldano</t>
  </si>
  <si>
    <t>DO</t>
  </si>
  <si>
    <t>CrossFit Crash</t>
  </si>
  <si>
    <t>b3ff4-P93473_3-184.jpg</t>
  </si>
  <si>
    <t>Josh</t>
  </si>
  <si>
    <t>Miller</t>
  </si>
  <si>
    <t>Panama</t>
  </si>
  <si>
    <t>Reebok CrossFit PTY</t>
  </si>
  <si>
    <t>fd95b-P191624_2-184.jpg</t>
  </si>
  <si>
    <t>Alvaro</t>
  </si>
  <si>
    <t>Lopez</t>
  </si>
  <si>
    <t>PA</t>
  </si>
  <si>
    <t>Tonic CrossFit</t>
  </si>
  <si>
    <t>47f1f-P308712_3-184.jpg</t>
  </si>
  <si>
    <t>Jean-Simon</t>
  </si>
  <si>
    <t>Roy-Lemaire</t>
  </si>
  <si>
    <t>Philippines</t>
  </si>
  <si>
    <t>Avant Garde CrossFit</t>
  </si>
  <si>
    <t>6aece-P434258_1-184.jpg</t>
  </si>
  <si>
    <t>Justin</t>
  </si>
  <si>
    <t>Hernandez</t>
  </si>
  <si>
    <t>PH</t>
  </si>
  <si>
    <t>Honduras</t>
  </si>
  <si>
    <t>17cc4-P345700_4-184.jpg</t>
  </si>
  <si>
    <t>Franky</t>
  </si>
  <si>
    <t>Wood</t>
  </si>
  <si>
    <t>HN</t>
  </si>
  <si>
    <t>0e176-P247005_2-184.jpg</t>
  </si>
  <si>
    <t>Streat</t>
  </si>
  <si>
    <t>Hoerner</t>
  </si>
  <si>
    <t>Kenya</t>
  </si>
  <si>
    <t>CrossFit Progression</t>
  </si>
  <si>
    <t>33ba3-P1721_9-184.jpg</t>
  </si>
  <si>
    <t>Jeremy</t>
  </si>
  <si>
    <t>Mghenyi</t>
  </si>
  <si>
    <t>KE</t>
  </si>
  <si>
    <t>CrossFit T-Town</t>
  </si>
  <si>
    <t>c7ff3-P755342_4-184.jpg</t>
  </si>
  <si>
    <t>Zachery</t>
  </si>
  <si>
    <t>Buntin</t>
  </si>
  <si>
    <t>Estonia</t>
  </si>
  <si>
    <t>CrossFit Tartu</t>
  </si>
  <si>
    <t>310fb-P733576_3-184.jpg</t>
  </si>
  <si>
    <t>Mihkel</t>
  </si>
  <si>
    <t>Keldoja</t>
  </si>
  <si>
    <t>EE</t>
  </si>
  <si>
    <t>Bulgaria</t>
  </si>
  <si>
    <t>CrossFit Worlds End</t>
  </si>
  <si>
    <t>7d6b8-P658408_1-184.jpg</t>
  </si>
  <si>
    <t>Stavri</t>
  </si>
  <si>
    <t>Stavrev</t>
  </si>
  <si>
    <t>BG</t>
  </si>
  <si>
    <t>Uruguay</t>
  </si>
  <si>
    <t>Instinto CrossFit</t>
  </si>
  <si>
    <t>ec81d-P326958_3-184.jpg</t>
  </si>
  <si>
    <t>Santiago</t>
  </si>
  <si>
    <t>Comba</t>
  </si>
  <si>
    <t>UY</t>
  </si>
  <si>
    <t>CrossFit R99</t>
  </si>
  <si>
    <t>5a339-P179080_6-184.jpg</t>
  </si>
  <si>
    <t>Bartek</t>
  </si>
  <si>
    <t>Lipka</t>
  </si>
  <si>
    <t>Tonga</t>
  </si>
  <si>
    <t>CrossFit 3216</t>
  </si>
  <si>
    <t>28dd6-P9839_2-184.jpg</t>
  </si>
  <si>
    <t>Andre</t>
  </si>
  <si>
    <t>Alipate</t>
  </si>
  <si>
    <t>TO</t>
  </si>
  <si>
    <t>Guyana</t>
  </si>
  <si>
    <t>CrossFit 592</t>
  </si>
  <si>
    <t>3ecb5-P595818_2-184.jpg</t>
  </si>
  <si>
    <t>Dillon</t>
  </si>
  <si>
    <t>Mahadeo</t>
  </si>
  <si>
    <t>GY</t>
  </si>
  <si>
    <t>Angola</t>
  </si>
  <si>
    <t>Ultimate Burn CrossFit</t>
  </si>
  <si>
    <t>02d1a-P1402559_1-184.jpg</t>
  </si>
  <si>
    <t>Marco</t>
  </si>
  <si>
    <t>Almeida</t>
  </si>
  <si>
    <t>AO</t>
  </si>
  <si>
    <t>Iran</t>
  </si>
  <si>
    <t>Diablo CrossFit</t>
  </si>
  <si>
    <t>407e4-P34025_10-184.jpg</t>
  </si>
  <si>
    <t>Payam</t>
  </si>
  <si>
    <t>Saljoughian</t>
  </si>
  <si>
    <t>IR</t>
  </si>
  <si>
    <t>Bahrain</t>
  </si>
  <si>
    <t>CrossFit Delmon</t>
  </si>
  <si>
    <t>Majid</t>
  </si>
  <si>
    <t>Al Sharaf</t>
  </si>
  <si>
    <t>BH</t>
  </si>
  <si>
    <t>Glass City CrossFit</t>
  </si>
  <si>
    <t>b97b3-P571999_1-184.jpg</t>
  </si>
  <si>
    <t>Richard Paul</t>
  </si>
  <si>
    <t>Castillo</t>
  </si>
  <si>
    <t>Czech Republic</t>
  </si>
  <si>
    <t>CrossFit With Us</t>
  </si>
  <si>
    <t>7c091-P458360_1-184.jpg</t>
  </si>
  <si>
    <t>David</t>
  </si>
  <si>
    <t>Stroupek</t>
  </si>
  <si>
    <t>CZ</t>
  </si>
  <si>
    <t>Ecuador</t>
  </si>
  <si>
    <t>79f38-P907105_2-184.jpg</t>
  </si>
  <si>
    <t>Sebastian</t>
  </si>
  <si>
    <t>Rodriguez</t>
  </si>
  <si>
    <t>EC</t>
  </si>
  <si>
    <t>Belarus</t>
  </si>
  <si>
    <t>CrossFit Kaban (departed)</t>
  </si>
  <si>
    <t>44ef7-P675164_2-184.jpg</t>
  </si>
  <si>
    <t>Nikita</t>
  </si>
  <si>
    <t>Yundov</t>
  </si>
  <si>
    <t>BY</t>
  </si>
  <si>
    <t>Malaysia</t>
  </si>
  <si>
    <t>e6cf3-P25613_4-184.jpg</t>
  </si>
  <si>
    <t>Edmund</t>
  </si>
  <si>
    <t>Tan</t>
  </si>
  <si>
    <t>MY</t>
  </si>
  <si>
    <t>Jamaica</t>
  </si>
  <si>
    <t>Be CrossFit</t>
  </si>
  <si>
    <t>dd7fb-P495051_5-184.jpg</t>
  </si>
  <si>
    <t>Sion</t>
  </si>
  <si>
    <t>Brinn</t>
  </si>
  <si>
    <t>JM</t>
  </si>
  <si>
    <t>CrossFit Townsville</t>
  </si>
  <si>
    <t>Bayden</t>
  </si>
  <si>
    <t>Brown</t>
  </si>
  <si>
    <t>CrossFit Pallas</t>
  </si>
  <si>
    <t>c15ef-P20698_9-184.jpg</t>
  </si>
  <si>
    <t>Tim</t>
  </si>
  <si>
    <t>Paulson</t>
  </si>
  <si>
    <t>Korea, Republic of</t>
  </si>
  <si>
    <t>CrossFit Limelight</t>
  </si>
  <si>
    <t>28046-P278578_3-184.jpg</t>
  </si>
  <si>
    <t>JiMoo</t>
  </si>
  <si>
    <t>Son</t>
  </si>
  <si>
    <t>KR</t>
  </si>
  <si>
    <t>Trinidad and Tobago</t>
  </si>
  <si>
    <t>Igone CrossFit</t>
  </si>
  <si>
    <t>d3193-P227027_2-184.jpg</t>
  </si>
  <si>
    <t>Mattheaus</t>
  </si>
  <si>
    <t>Otero</t>
  </si>
  <si>
    <t>TT</t>
  </si>
  <si>
    <t>Morocco</t>
  </si>
  <si>
    <t>CrossFit The Flying V</t>
  </si>
  <si>
    <t>a2b0a-P32083_8-184.jpg</t>
  </si>
  <si>
    <t>Karim</t>
  </si>
  <si>
    <t>El Hlimi</t>
  </si>
  <si>
    <t>MA</t>
  </si>
  <si>
    <t>Bahamas</t>
  </si>
  <si>
    <t>ca414-P916290_1-184.jpg</t>
  </si>
  <si>
    <t>Morley</t>
  </si>
  <si>
    <t>BS</t>
  </si>
  <si>
    <t>El Salvador</t>
  </si>
  <si>
    <t>RD CrossFit</t>
  </si>
  <si>
    <t>d8f35-P683301_1-184.jpg</t>
  </si>
  <si>
    <t>Rodrigo</t>
  </si>
  <si>
    <t>BeltrÃ¡n</t>
  </si>
  <si>
    <t>SV</t>
  </si>
  <si>
    <t>Lebanon</t>
  </si>
  <si>
    <t>8f57c-P523439_1-184.jpg</t>
  </si>
  <si>
    <t>Moustafa</t>
  </si>
  <si>
    <t>Awada</t>
  </si>
  <si>
    <t>LB</t>
  </si>
  <si>
    <t>Saudi Arabia</t>
  </si>
  <si>
    <t>966 CrossFit Al-Nahda</t>
  </si>
  <si>
    <t>6e032-P639107_2-184.jpg</t>
  </si>
  <si>
    <t>Hussain</t>
  </si>
  <si>
    <t>Saeedi</t>
  </si>
  <si>
    <t>SA</t>
  </si>
  <si>
    <t>Peru</t>
  </si>
  <si>
    <t>PUL CrossFit</t>
  </si>
  <si>
    <t>489ba-P915210_1-184.jpg</t>
  </si>
  <si>
    <t>Jovaldo</t>
  </si>
  <si>
    <t>Miranda</t>
  </si>
  <si>
    <t>PE</t>
  </si>
  <si>
    <t>Indonesia</t>
  </si>
  <si>
    <t>CrossFit 6221</t>
  </si>
  <si>
    <t>ce806-P1129621_1-184.jpg</t>
  </si>
  <si>
    <t>Mahendra</t>
  </si>
  <si>
    <t>Arditirta</t>
  </si>
  <si>
    <t>ID</t>
  </si>
  <si>
    <t>Ghana</t>
  </si>
  <si>
    <t>CrossFit Leeds</t>
  </si>
  <si>
    <t>b958b-P921544_2-184.jpg</t>
  </si>
  <si>
    <t>Edem</t>
  </si>
  <si>
    <t>Ahiaku</t>
  </si>
  <si>
    <t>GH</t>
  </si>
  <si>
    <t>Kosovo</t>
  </si>
  <si>
    <t>CrossFit HelvetiX</t>
  </si>
  <si>
    <t>c8255-P722854_3-184.jpg</t>
  </si>
  <si>
    <t>Robert</t>
  </si>
  <si>
    <t>Berisha</t>
  </si>
  <si>
    <t>XK</t>
  </si>
  <si>
    <t>Costa Rica</t>
  </si>
  <si>
    <t>Training PIT CrossFit</t>
  </si>
  <si>
    <t>ab1de-P781908_2-184.jpg</t>
  </si>
  <si>
    <t>William</t>
  </si>
  <si>
    <t>Sanchez</t>
  </si>
  <si>
    <t>CR</t>
  </si>
  <si>
    <t>Barbados</t>
  </si>
  <si>
    <t>CrossFit Hammersmith</t>
  </si>
  <si>
    <t>ebd25-P352604_3-184.jpg</t>
  </si>
  <si>
    <t>Richy</t>
  </si>
  <si>
    <t>BB</t>
  </si>
  <si>
    <t>Israel</t>
  </si>
  <si>
    <t>CrossFit Florentin</t>
  </si>
  <si>
    <t>5fbd6-P327773_1-184.jpg</t>
  </si>
  <si>
    <t>Yuval</t>
  </si>
  <si>
    <t>Regev</t>
  </si>
  <si>
    <t>IL</t>
  </si>
  <si>
    <t>Algeria</t>
  </si>
  <si>
    <t>CrossFit TANKA</t>
  </si>
  <si>
    <t>8d246-P848265_2-184.jpg</t>
  </si>
  <si>
    <t>Chaker</t>
  </si>
  <si>
    <t>Alouni</t>
  </si>
  <si>
    <t>DZ</t>
  </si>
  <si>
    <t>Qatar</t>
  </si>
  <si>
    <t>c51e2-P235246_1-184.jpg</t>
  </si>
  <si>
    <t>Alhamadi</t>
  </si>
  <si>
    <t>QA</t>
  </si>
  <si>
    <t>Malta</t>
  </si>
  <si>
    <t>c251c-P644351_2-184.jpg</t>
  </si>
  <si>
    <t>Daryl</t>
  </si>
  <si>
    <t>Borg</t>
  </si>
  <si>
    <t>MT</t>
  </si>
  <si>
    <t>Iraq</t>
  </si>
  <si>
    <t>CrossFit AKA</t>
  </si>
  <si>
    <t>Mustafa</t>
  </si>
  <si>
    <t>El-Lari</t>
  </si>
  <si>
    <t>IQ</t>
  </si>
  <si>
    <t>Cyprus</t>
  </si>
  <si>
    <t>CrossFit Limassol</t>
  </si>
  <si>
    <t>ba829-P296529_2-184.jpg</t>
  </si>
  <si>
    <t>Achilleas</t>
  </si>
  <si>
    <t>Pantazis</t>
  </si>
  <si>
    <t>CY</t>
  </si>
  <si>
    <t>Senegal</t>
  </si>
  <si>
    <t>Casa CrossFit Anfa</t>
  </si>
  <si>
    <t>ebdc1-P1523543_1-184.jpg</t>
  </si>
  <si>
    <t>Mody</t>
  </si>
  <si>
    <t>Traore</t>
  </si>
  <si>
    <t>SN</t>
  </si>
  <si>
    <t>Italy</t>
  </si>
  <si>
    <t>Reebok CrossFit Officine</t>
  </si>
  <si>
    <t>96329-P544958_1-184.jpg</t>
  </si>
  <si>
    <t>Stefano</t>
  </si>
  <si>
    <t>Migliorini</t>
  </si>
  <si>
    <t>IT</t>
  </si>
  <si>
    <t>Botswana</t>
  </si>
  <si>
    <t>CrossFit Gaborone</t>
  </si>
  <si>
    <t>2b559-P1223806_1-184.jpg</t>
  </si>
  <si>
    <t>Katlego</t>
  </si>
  <si>
    <t>Kgwadi</t>
  </si>
  <si>
    <t>BW</t>
  </si>
  <si>
    <t>Saint Lucia</t>
  </si>
  <si>
    <t>CrossFit 414</t>
  </si>
  <si>
    <t>d3a99-P574502_1-184.jpg</t>
  </si>
  <si>
    <t>Heskeith</t>
  </si>
  <si>
    <t>Flavien</t>
  </si>
  <si>
    <t>LC</t>
  </si>
  <si>
    <t>Mozambique</t>
  </si>
  <si>
    <t>6d0fa-P851037_1-184.jpg</t>
  </si>
  <si>
    <t>Pack</t>
  </si>
  <si>
    <t>Santos</t>
  </si>
  <si>
    <t>MZ</t>
  </si>
  <si>
    <t>Cambodia</t>
  </si>
  <si>
    <t>CrossFit Yiqi</t>
  </si>
  <si>
    <t>137ce-P555634_2-184.jpg</t>
  </si>
  <si>
    <t>Kobe</t>
  </si>
  <si>
    <t>Khy</t>
  </si>
  <si>
    <t>KH</t>
  </si>
  <si>
    <t>Afghanistan</t>
  </si>
  <si>
    <t>fe3b0-P1306552_1-184.jpg</t>
  </si>
  <si>
    <t>Sami</t>
  </si>
  <si>
    <t>Salampur</t>
  </si>
  <si>
    <t>AF</t>
  </si>
  <si>
    <t>Nicaragua</t>
  </si>
  <si>
    <t>CrossFit FE</t>
  </si>
  <si>
    <t>fc318-P1122311_1-184.jpg</t>
  </si>
  <si>
    <t>Arturocesar</t>
  </si>
  <si>
    <t>Mora</t>
  </si>
  <si>
    <t>NI</t>
  </si>
  <si>
    <t>Pakistan</t>
  </si>
  <si>
    <t>CrossFit BNB</t>
  </si>
  <si>
    <t>ec202-P457993_3-184.jpg</t>
  </si>
  <si>
    <t>Bilal</t>
  </si>
  <si>
    <t>Tariq</t>
  </si>
  <si>
    <t>PK</t>
  </si>
  <si>
    <t>India</t>
  </si>
  <si>
    <t>CrossFit 7 Seas</t>
  </si>
  <si>
    <t>fa3de-P253911_1-184.jpg</t>
  </si>
  <si>
    <t>Vedharth</t>
  </si>
  <si>
    <t>Thappa</t>
  </si>
  <si>
    <t>IN</t>
  </si>
  <si>
    <t>Singapore</t>
  </si>
  <si>
    <t>CrossFit Mobilus</t>
  </si>
  <si>
    <t>ea942-P425160_3-184.jpg</t>
  </si>
  <si>
    <t>Ian</t>
  </si>
  <si>
    <t>Wee</t>
  </si>
  <si>
    <t>SG</t>
  </si>
  <si>
    <t>Bolivia</t>
  </si>
  <si>
    <t>Hudson River CrossFit (departed)</t>
  </si>
  <si>
    <t>cde95-P199533_10-184.jpg</t>
  </si>
  <si>
    <t>J. Rodrigo</t>
  </si>
  <si>
    <t>Agreda</t>
  </si>
  <si>
    <t>BO</t>
  </si>
  <si>
    <t>Sri Lanka</t>
  </si>
  <si>
    <t>CrossFit Ceylon</t>
  </si>
  <si>
    <t>5c4d9-P96918_4-184.jpg</t>
  </si>
  <si>
    <t>Andy</t>
  </si>
  <si>
    <t>Andrews</t>
  </si>
  <si>
    <t>LK</t>
  </si>
  <si>
    <t>Andorra</t>
  </si>
  <si>
    <t>La Borda CrossFit</t>
  </si>
  <si>
    <t>03216-P464588_6-184.jpg</t>
  </si>
  <si>
    <t>Enric</t>
  </si>
  <si>
    <t>Closa</t>
  </si>
  <si>
    <t>AD</t>
  </si>
  <si>
    <t>Papua New Guinea</t>
  </si>
  <si>
    <t>CrossFit Port Moresby</t>
  </si>
  <si>
    <t>56d6c-P1095623_1-184.jpg</t>
  </si>
  <si>
    <t>Kila</t>
  </si>
  <si>
    <t>Kilaverave</t>
  </si>
  <si>
    <t>PG</t>
  </si>
  <si>
    <t>Viet Nam</t>
  </si>
  <si>
    <t>AllSport CrossFit</t>
  </si>
  <si>
    <t>Keith</t>
  </si>
  <si>
    <t>Nhan</t>
  </si>
  <si>
    <t>VN</t>
  </si>
  <si>
    <t>CrossFit ReykjavÃ­k</t>
  </si>
  <si>
    <t>ef40c-P18543_11-184.jpg</t>
  </si>
  <si>
    <t>Frederik</t>
  </si>
  <si>
    <t>Aegidius</t>
  </si>
  <si>
    <t>Oman</t>
  </si>
  <si>
    <t>CrossFit Tempo</t>
  </si>
  <si>
    <t>WD</t>
  </si>
  <si>
    <t>Aslam</t>
  </si>
  <si>
    <t>Al Shukaili</t>
  </si>
  <si>
    <t>OM</t>
  </si>
  <si>
    <t>CrossFit 061</t>
  </si>
  <si>
    <t>ea7a9-P5312_7-184.jpg</t>
  </si>
  <si>
    <t>Nicholas</t>
  </si>
  <si>
    <t>Urankar</t>
  </si>
  <si>
    <t>CrossFit Rage</t>
  </si>
  <si>
    <t>4baa9-P4895_11-184.jpg</t>
  </si>
  <si>
    <t>Troyan</t>
  </si>
  <si>
    <t>CrossFit Akureyri</t>
  </si>
  <si>
    <t>2d586-P125959_2-184.jpg</t>
  </si>
  <si>
    <t>CrossFit Saintes</t>
  </si>
  <si>
    <t>b6110-P164390_8-184.jpg</t>
  </si>
  <si>
    <t>Alexandre</t>
  </si>
  <si>
    <t>Jolivet</t>
  </si>
  <si>
    <t>CrossFit RDL</t>
  </si>
  <si>
    <t>83144-P255163_3-184.jpg</t>
  </si>
  <si>
    <t>Laverriere</t>
  </si>
  <si>
    <t>2bf12-P112137_4-184.jpg</t>
  </si>
  <si>
    <t>Stefan Helgi</t>
  </si>
  <si>
    <t>Einarsson</t>
  </si>
  <si>
    <t>CrossFit Duratus</t>
  </si>
  <si>
    <t>Kevin</t>
  </si>
  <si>
    <t>Longmeier</t>
  </si>
  <si>
    <t>Sumner CrossFit</t>
  </si>
  <si>
    <t>25a32-P100797_5-184.jpg</t>
  </si>
  <si>
    <t>Mike</t>
  </si>
  <si>
    <t>Abgarian</t>
  </si>
  <si>
    <t>David Santa Cruz</t>
  </si>
  <si>
    <t>Borgstrand</t>
  </si>
  <si>
    <t>CrossFit Kinesis</t>
  </si>
  <si>
    <t>2c797-P25569_11-184.jpg</t>
  </si>
  <si>
    <t>Kyle</t>
  </si>
  <si>
    <t>Kasperbauer</t>
  </si>
  <si>
    <t>5280 CrossFit</t>
  </si>
  <si>
    <t>dd30b-P532455_5-184.jpg</t>
  </si>
  <si>
    <t>Grubb</t>
  </si>
  <si>
    <t>In2 CrossFit Farnham</t>
  </si>
  <si>
    <t>Richard</t>
  </si>
  <si>
    <t>Vint</t>
  </si>
  <si>
    <t>Fort to Fort CrossFit</t>
  </si>
  <si>
    <t>d03cb-P252855_3-184.jpg</t>
  </si>
  <si>
    <t>Robbie</t>
  </si>
  <si>
    <t>Perovich</t>
  </si>
  <si>
    <t>Injustice CrossFit</t>
  </si>
  <si>
    <t>d1f82-P278759_9-184.jpg</t>
  </si>
  <si>
    <t>Caine</t>
  </si>
  <si>
    <t>Hayes</t>
  </si>
  <si>
    <t>66145-P29109_2-184.jpg</t>
  </si>
  <si>
    <t>Nuno</t>
  </si>
  <si>
    <t>Costa</t>
  </si>
  <si>
    <t>CrossFit Algoa</t>
  </si>
  <si>
    <t>a068c-P8743_11-184.jpg</t>
  </si>
  <si>
    <t>Levey</t>
  </si>
  <si>
    <t>CrossFit Southie</t>
  </si>
  <si>
    <t>30985-P167005_20-184.jpg</t>
  </si>
  <si>
    <t>Brian</t>
  </si>
  <si>
    <t>Campbell</t>
  </si>
  <si>
    <t>CrossFit SPT</t>
  </si>
  <si>
    <t>91820-P171764_1-184.jpg</t>
  </si>
  <si>
    <t>Heath</t>
  </si>
  <si>
    <t>Moody</t>
  </si>
  <si>
    <t>CrossFit PR Star</t>
  </si>
  <si>
    <t>c242d-P168610_2-184.jpg</t>
  </si>
  <si>
    <t>Tony</t>
  </si>
  <si>
    <t>Kurz</t>
  </si>
  <si>
    <t>Superhero CrossFit</t>
  </si>
  <si>
    <t>ccef6-P86878_3-184.jpg</t>
  </si>
  <si>
    <t>Chris</t>
  </si>
  <si>
    <t>Anderson</t>
  </si>
  <si>
    <t>Renewed Strength CrossFit</t>
  </si>
  <si>
    <t>c37a9-P631875_1-184.jpg</t>
  </si>
  <si>
    <t>Joel</t>
  </si>
  <si>
    <t>Hughes</t>
  </si>
  <si>
    <t>CrossFit Garwood</t>
  </si>
  <si>
    <t>483b3-P116627_7-184.jpg</t>
  </si>
  <si>
    <t>Lasala</t>
  </si>
  <si>
    <t>CrossFit Galvanize</t>
  </si>
  <si>
    <t>81f74-P26902_4-184.jpg</t>
  </si>
  <si>
    <t>Chad</t>
  </si>
  <si>
    <t>CrossFit San Benedetto del Tronto</t>
  </si>
  <si>
    <t>0df8d-P95809_2-184.jpg</t>
  </si>
  <si>
    <t>Bernard</t>
  </si>
  <si>
    <t>Luzi</t>
  </si>
  <si>
    <t>CrossFit Florian</t>
  </si>
  <si>
    <t>54cbf-P112592_2-184.jpg</t>
  </si>
  <si>
    <t>Clint</t>
  </si>
  <si>
    <t>Paddock</t>
  </si>
  <si>
    <t>CrossFit 215</t>
  </si>
  <si>
    <t>af4ad-P17714_3-184.jpg</t>
  </si>
  <si>
    <t>Rando</t>
  </si>
  <si>
    <t>CrossFit Chomp City</t>
  </si>
  <si>
    <t>cd057-P76101_6-184.jpg</t>
  </si>
  <si>
    <t>Bob</t>
  </si>
  <si>
    <t>Ruano</t>
  </si>
  <si>
    <t>CrossFit Teramo</t>
  </si>
  <si>
    <t>0b1b2-P278581_1-184.jpg</t>
  </si>
  <si>
    <t>Giulio</t>
  </si>
  <si>
    <t>Silvino</t>
  </si>
  <si>
    <t>Offshore CrossFit</t>
  </si>
  <si>
    <t>a07ae-P110150_4-184.jpg</t>
  </si>
  <si>
    <t>Jennings</t>
  </si>
  <si>
    <t>99efa-P13342_1-184.jpg</t>
  </si>
  <si>
    <t>Bruce</t>
  </si>
  <si>
    <t>Thomas</t>
  </si>
  <si>
    <t>Kirkland CrossFit</t>
  </si>
  <si>
    <t>d8676-P721301_2-184.jpg</t>
  </si>
  <si>
    <t>Koester</t>
  </si>
  <si>
    <t>761d1-P297488_2-184.jpg</t>
  </si>
  <si>
    <t>Gregg</t>
  </si>
  <si>
    <t>Geerdes</t>
  </si>
  <si>
    <t>CrossFit Dark Side</t>
  </si>
  <si>
    <t>57144-P33259_4-184.jpg</t>
  </si>
  <si>
    <t>Vic</t>
  </si>
  <si>
    <t>McQuaide</t>
  </si>
  <si>
    <t>CrossFit Commence</t>
  </si>
  <si>
    <t>a6cc1-P153858_6-184.jpg</t>
  </si>
  <si>
    <t>Jody</t>
  </si>
  <si>
    <t>Hendrix</t>
  </si>
  <si>
    <t>CrossFit Canal</t>
  </si>
  <si>
    <t>bc35b-P825700_2-184.jpg</t>
  </si>
  <si>
    <t>Leonardo Wernersbach</t>
  </si>
  <si>
    <t>Lima</t>
  </si>
  <si>
    <t>Blitz CrossFit</t>
  </si>
  <si>
    <t>24864-P519096_1-184.jpg</t>
  </si>
  <si>
    <t>Murray</t>
  </si>
  <si>
    <t>CrossFit Huntsville</t>
  </si>
  <si>
    <t>9c17a-P121517_8-184.jpg</t>
  </si>
  <si>
    <t>Paul</t>
  </si>
  <si>
    <t>McCrary</t>
  </si>
  <si>
    <t>Warlock CrossFit</t>
  </si>
  <si>
    <t>f9942-P50856_7-184.jpg</t>
  </si>
  <si>
    <t>Charles</t>
  </si>
  <si>
    <t>Russo</t>
  </si>
  <si>
    <t>CrossFit West Plains</t>
  </si>
  <si>
    <t>16d80-P109071_8-184.jpg</t>
  </si>
  <si>
    <t>Ryan Joe</t>
  </si>
  <si>
    <t>Hamby</t>
  </si>
  <si>
    <t>Long Branch CrossFit</t>
  </si>
  <si>
    <t>a0b27-P241233_3-184.jpg</t>
  </si>
  <si>
    <t>Mark</t>
  </si>
  <si>
    <t>Ziolkowski</t>
  </si>
  <si>
    <t>Resilience CrossFit</t>
  </si>
  <si>
    <t>d2490-P111119_6-184.jpg</t>
  </si>
  <si>
    <t>Joe</t>
  </si>
  <si>
    <t>Ames</t>
  </si>
  <si>
    <t>CrossFit Unrestrained</t>
  </si>
  <si>
    <t>00d50-P38826_8-184.jpg</t>
  </si>
  <si>
    <t>Ken</t>
  </si>
  <si>
    <t>Idler</t>
  </si>
  <si>
    <t>Aloha CrossFit</t>
  </si>
  <si>
    <t>50b46-P123429_2-184.jpg</t>
  </si>
  <si>
    <t>Allen</t>
  </si>
  <si>
    <t>Duarte</t>
  </si>
  <si>
    <t>2693d-P53380_11-184.jpg</t>
  </si>
  <si>
    <t>Kurt</t>
  </si>
  <si>
    <t>Stein</t>
  </si>
  <si>
    <t>CrossFit Mozomo</t>
  </si>
  <si>
    <t>2acea-P12819_4-184.jpg</t>
  </si>
  <si>
    <t>Young</t>
  </si>
  <si>
    <t>e1ab3-P59899_6-184.jpg</t>
  </si>
  <si>
    <t>Powell</t>
  </si>
  <si>
    <t>Ocean State CrossFit</t>
  </si>
  <si>
    <t>45ff0-P299915_5-184.jpg</t>
  </si>
  <si>
    <t>Stuart</t>
  </si>
  <si>
    <t>Swanson</t>
  </si>
  <si>
    <t>CrossFit Balance</t>
  </si>
  <si>
    <t>567a0-P56292_2-184.jpg</t>
  </si>
  <si>
    <t>Vincent</t>
  </si>
  <si>
    <t>CrossFit 417</t>
  </si>
  <si>
    <t>f5235-P221046_3-184.jpg</t>
  </si>
  <si>
    <t>Rob</t>
  </si>
  <si>
    <t>Bernet</t>
  </si>
  <si>
    <t>CrossFit 1st State</t>
  </si>
  <si>
    <t>Perna</t>
  </si>
  <si>
    <t>Gord</t>
  </si>
  <si>
    <t>MacKinnon</t>
  </si>
  <si>
    <t>CrossFit Connection</t>
  </si>
  <si>
    <t>fab9b-P283002_1-184.jpg</t>
  </si>
  <si>
    <t>Dan</t>
  </si>
  <si>
    <t>Brannagan</t>
  </si>
  <si>
    <t>CrossFit Adrenaline</t>
  </si>
  <si>
    <t>21b2f-P536200_2-184.jpg</t>
  </si>
  <si>
    <t>Carl</t>
  </si>
  <si>
    <t>Giuffre</t>
  </si>
  <si>
    <t>CrossFit Sport</t>
  </si>
  <si>
    <t>2889e-P18975_2-184.jpg</t>
  </si>
  <si>
    <t>Hilmar</t>
  </si>
  <si>
    <t>Hardarson</t>
  </si>
  <si>
    <t>CrossFit SolaFide</t>
  </si>
  <si>
    <t>68470-P57724_4-184.jpg</t>
  </si>
  <si>
    <t>Hippensteel</t>
  </si>
  <si>
    <t>The Arena Nevada CrossFit</t>
  </si>
  <si>
    <t>8467d-P464020_6-184.jpg</t>
  </si>
  <si>
    <t>Double Down CrossFit</t>
  </si>
  <si>
    <t>d29f9-P661916_2-184.jpg</t>
  </si>
  <si>
    <t>Wellner</t>
  </si>
  <si>
    <t>CrossFit Beaufort</t>
  </si>
  <si>
    <t>99f37-P256405_9-184.jpg</t>
  </si>
  <si>
    <t>Hardie</t>
  </si>
  <si>
    <t>CrossFit Dallas Central</t>
  </si>
  <si>
    <t>965f4-P522158_1-184.jpg</t>
  </si>
  <si>
    <t>Tom</t>
  </si>
  <si>
    <t>de Nolf</t>
  </si>
  <si>
    <t>countrycode</t>
  </si>
  <si>
    <t>CATEGORY</t>
  </si>
  <si>
    <t>first name</t>
  </si>
  <si>
    <t>Aorre</t>
  </si>
  <si>
    <t>Auria</t>
  </si>
  <si>
    <t>unknown</t>
  </si>
  <si>
    <t>Gua mundsson</t>
  </si>
  <si>
    <t>Bjargvin Karl</t>
  </si>
  <si>
    <t>Hogberg</t>
  </si>
  <si>
    <t>CrossFit Malmo</t>
  </si>
  <si>
    <t>Torok</t>
  </si>
  <si>
    <t>Sigureur</t>
  </si>
  <si>
    <t>Thrastarson.</t>
  </si>
  <si>
    <t>Koetomaj</t>
  </si>
  <si>
    <t>Herne¡ndez</t>
  </si>
  <si>
    <t>competitor id</t>
  </si>
  <si>
    <t>CrossFit Reykjav­k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</si>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</sst>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lgerian"/>
      <family val="5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AF83AD-BDC1-413F-AF9E-794A7152A61A}" name="Table2" displayName="Table2" ref="A1:Q204" totalsRowShown="0" headerRowDxfId="18" dataDxfId="0">
  <autoFilter ref="A1:Q204" xr:uid="{D7AF83AD-BDC1-413F-AF9E-794A7152A61A}"/>
  <tableColumns count="17">
    <tableColumn id="1" xr3:uid="{A0AA4CC2-63E8-44C0-A5E8-E14AD15CE7C7}" name="competitor id" dataDxfId="17"/>
    <tableColumn id="3" xr3:uid="{562602BA-A167-4AF9-9E44-21F6F71F791F}" name="first name" dataDxfId="16"/>
    <tableColumn id="4" xr3:uid="{CDA3EAEE-2E41-4B9B-ADED-2DF2B5C02B3D}" name="lastname" dataDxfId="15"/>
    <tableColumn id="5" xr3:uid="{CDB14B43-2C32-4A11-8B80-D3D307DC5A4A}" name="countryoforiginname" dataDxfId="14"/>
    <tableColumn id="6" xr3:uid="{0CFE7B3A-1292-4026-A3B6-323BAF59AE91}" name="countrycode" dataDxfId="13"/>
    <tableColumn id="7" xr3:uid="{3C7149AC-DA84-4AEB-B316-B1F6451D5517}" name="age" dataDxfId="12"/>
    <tableColumn id="8" xr3:uid="{BF22CD17-048C-403A-80B9-20607D8C9C58}" name="CATEGORY" dataDxfId="11">
      <calculatedColumnFormula>IF(F2&lt;18,"teen","adult")</calculatedColumnFormula>
    </tableColumn>
    <tableColumn id="9" xr3:uid="{C5662B39-B754-4E5E-A791-8AA28C9CD26B}" name="affiliatename" dataDxfId="10"/>
    <tableColumn id="10" xr3:uid="{1EEEEA1B-456D-4358-B0AC-1B416C82D93E}" name="affiliateid" dataDxfId="9"/>
    <tableColumn id="11" xr3:uid="{D512B263-9E21-482B-9706-491CCF01E7A8}" name="height" dataDxfId="8"/>
    <tableColumn id="12" xr3:uid="{5DE56146-9EB4-4221-8633-78113E614F48}" name="weight" dataDxfId="7"/>
    <tableColumn id="13" xr3:uid="{3C12FE4F-2947-417B-A4B0-97BBCC194C87}" name="status" dataDxfId="6"/>
    <tableColumn id="14" xr3:uid="{5CA21FDF-FB61-4DAB-AFFB-08782D315CD5}" name="overallscore" dataDxfId="5"/>
    <tableColumn id="15" xr3:uid="{442470A3-C610-406C-86F1-91EEF71F4CA1}" name="overallrank" dataDxfId="4"/>
    <tableColumn id="16" xr3:uid="{EA62BF10-7A70-4D79-9EBB-D142D94E21D4}" name="bibid" dataDxfId="3"/>
    <tableColumn id="17" xr3:uid="{90337B3B-5776-4CEB-A331-C7CC01B7FFF5}" name="profilepics3key" dataDxfId="2"/>
    <tableColumn id="18" xr3:uid="{734AC2CD-157D-45BB-BB23-D0B6680952D8}" name="Number of Record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AFC0-5B1A-4C6E-BC66-A9D05079C37F}">
  <dimension ref="A1:Q204"/>
  <sheetViews>
    <sheetView tabSelected="1" workbookViewId="0">
      <selection activeCell="N119" sqref="N119"/>
    </sheetView>
  </sheetViews>
  <sheetFormatPr defaultRowHeight="14.4" x14ac:dyDescent="0.3"/>
  <cols>
    <col min="1" max="1" width="14.6640625" customWidth="1"/>
    <col min="2" max="2" width="18.44140625" customWidth="1"/>
    <col min="3" max="3" width="19.77734375" customWidth="1"/>
    <col min="4" max="4" width="22.6640625" customWidth="1"/>
    <col min="5" max="5" width="14.77734375" customWidth="1"/>
    <col min="6" max="6" width="11.44140625" customWidth="1"/>
    <col min="7" max="7" width="17.109375" customWidth="1"/>
    <col min="8" max="8" width="22.109375" customWidth="1"/>
    <col min="9" max="9" width="12" customWidth="1"/>
    <col min="10" max="10" width="12.33203125" customWidth="1"/>
    <col min="11" max="11" width="19.21875" customWidth="1"/>
    <col min="12" max="12" width="12.44140625" customWidth="1"/>
    <col min="13" max="13" width="15.88671875" customWidth="1"/>
    <col min="14" max="14" width="14" customWidth="1"/>
    <col min="15" max="15" width="12.88671875" customWidth="1"/>
    <col min="16" max="16" width="29" customWidth="1"/>
    <col min="17" max="17" width="17.33203125" customWidth="1"/>
  </cols>
  <sheetData>
    <row r="1" spans="1:17" s="1" customFormat="1" x14ac:dyDescent="0.3">
      <c r="A1" s="1" t="s">
        <v>975</v>
      </c>
      <c r="B1" s="3" t="s">
        <v>962</v>
      </c>
      <c r="C1" s="1" t="s">
        <v>9</v>
      </c>
      <c r="D1" s="1" t="s">
        <v>2</v>
      </c>
      <c r="E1" s="1" t="s">
        <v>960</v>
      </c>
      <c r="F1" s="1" t="s">
        <v>8</v>
      </c>
      <c r="G1" s="1" t="s">
        <v>961</v>
      </c>
      <c r="H1" s="1" t="s">
        <v>4</v>
      </c>
      <c r="I1" s="1" t="s">
        <v>1</v>
      </c>
      <c r="J1" s="1" t="s">
        <v>0</v>
      </c>
      <c r="K1" s="1" t="s">
        <v>3</v>
      </c>
      <c r="L1" s="2" t="s">
        <v>5</v>
      </c>
      <c r="M1" s="1" t="s">
        <v>11</v>
      </c>
      <c r="N1" s="1" t="s">
        <v>10</v>
      </c>
      <c r="O1" s="1" t="s">
        <v>6</v>
      </c>
      <c r="P1" s="1" t="s">
        <v>7</v>
      </c>
      <c r="Q1" s="1" t="s">
        <v>12</v>
      </c>
    </row>
    <row r="2" spans="1:17" x14ac:dyDescent="0.3">
      <c r="A2" s="4">
        <v>667464</v>
      </c>
      <c r="B2" s="4" t="s">
        <v>963</v>
      </c>
      <c r="C2" s="4" t="s">
        <v>964</v>
      </c>
      <c r="D2" s="4" t="s">
        <v>360</v>
      </c>
      <c r="E2" s="4" t="s">
        <v>363</v>
      </c>
      <c r="F2" s="4">
        <v>24</v>
      </c>
      <c r="G2" s="4" t="str">
        <f>IF(F2&lt;18,"teen","adult")</f>
        <v>adult</v>
      </c>
      <c r="H2" s="4" t="s">
        <v>361</v>
      </c>
      <c r="I2" s="4">
        <v>44690</v>
      </c>
      <c r="J2" s="4">
        <v>1.89</v>
      </c>
      <c r="K2" s="4">
        <v>87.1</v>
      </c>
      <c r="L2" s="4" t="s">
        <v>59</v>
      </c>
      <c r="M2" s="4">
        <v>16</v>
      </c>
      <c r="N2" s="4">
        <v>72</v>
      </c>
      <c r="O2" s="4">
        <v>170</v>
      </c>
      <c r="P2" s="4" t="s">
        <v>362</v>
      </c>
      <c r="Q2" s="4">
        <v>1</v>
      </c>
    </row>
    <row r="3" spans="1:17" x14ac:dyDescent="0.3">
      <c r="A3" s="4">
        <v>296529</v>
      </c>
      <c r="B3" s="4" t="s">
        <v>652</v>
      </c>
      <c r="C3" s="4" t="s">
        <v>653</v>
      </c>
      <c r="D3" s="4" t="s">
        <v>649</v>
      </c>
      <c r="E3" s="4" t="s">
        <v>654</v>
      </c>
      <c r="F3" s="4">
        <v>28</v>
      </c>
      <c r="G3" s="4" t="str">
        <f t="shared" ref="G3:G66" si="0">IF(F3&lt;18,"teen","adult")</f>
        <v>adult</v>
      </c>
      <c r="H3" s="4" t="s">
        <v>650</v>
      </c>
      <c r="I3" s="4">
        <v>44668</v>
      </c>
      <c r="J3" s="4">
        <v>1.8</v>
      </c>
      <c r="K3" s="4">
        <v>90.7</v>
      </c>
      <c r="L3" s="4" t="s">
        <v>59</v>
      </c>
      <c r="M3" s="4">
        <v>-51</v>
      </c>
      <c r="N3" s="4">
        <v>126</v>
      </c>
      <c r="O3" s="4">
        <v>169</v>
      </c>
      <c r="P3" s="4" t="s">
        <v>651</v>
      </c>
      <c r="Q3" s="4">
        <v>1</v>
      </c>
    </row>
    <row r="4" spans="1:17" x14ac:dyDescent="0.3">
      <c r="A4" s="4">
        <v>698182</v>
      </c>
      <c r="B4" s="4" t="s">
        <v>48</v>
      </c>
      <c r="C4" s="4" t="s">
        <v>49</v>
      </c>
      <c r="D4" s="4" t="s">
        <v>46</v>
      </c>
      <c r="E4" s="4" t="s">
        <v>50</v>
      </c>
      <c r="F4" s="4">
        <v>26</v>
      </c>
      <c r="G4" s="4" t="str">
        <f t="shared" si="0"/>
        <v>adult</v>
      </c>
      <c r="H4" s="4" t="s">
        <v>965</v>
      </c>
      <c r="I4" s="4" t="s">
        <v>965</v>
      </c>
      <c r="J4" s="4">
        <v>1.77</v>
      </c>
      <c r="K4" s="4">
        <v>84.8</v>
      </c>
      <c r="L4" s="4" t="s">
        <v>15</v>
      </c>
      <c r="M4" s="4">
        <v>632</v>
      </c>
      <c r="N4" s="4">
        <v>8</v>
      </c>
      <c r="O4" s="4">
        <v>135</v>
      </c>
      <c r="P4" s="4" t="s">
        <v>47</v>
      </c>
      <c r="Q4" s="4">
        <v>1</v>
      </c>
    </row>
    <row r="5" spans="1:17" x14ac:dyDescent="0.3">
      <c r="A5" s="4">
        <v>478414</v>
      </c>
      <c r="B5" s="4" t="s">
        <v>240</v>
      </c>
      <c r="C5" s="4" t="s">
        <v>241</v>
      </c>
      <c r="D5" s="4" t="s">
        <v>238</v>
      </c>
      <c r="E5" s="4" t="s">
        <v>242</v>
      </c>
      <c r="F5" s="4">
        <v>22</v>
      </c>
      <c r="G5" s="4" t="str">
        <f t="shared" si="0"/>
        <v>adult</v>
      </c>
      <c r="H5" s="4" t="s">
        <v>965</v>
      </c>
      <c r="I5" s="4" t="s">
        <v>965</v>
      </c>
      <c r="J5" s="4">
        <v>1.77</v>
      </c>
      <c r="K5" s="4">
        <v>79.8</v>
      </c>
      <c r="L5" s="4" t="s">
        <v>59</v>
      </c>
      <c r="M5" s="4">
        <v>66</v>
      </c>
      <c r="N5" s="4">
        <v>50</v>
      </c>
      <c r="O5" s="4">
        <v>134</v>
      </c>
      <c r="P5" s="4" t="s">
        <v>239</v>
      </c>
      <c r="Q5" s="4">
        <v>1</v>
      </c>
    </row>
    <row r="6" spans="1:17" x14ac:dyDescent="0.3">
      <c r="A6" s="4">
        <v>677889</v>
      </c>
      <c r="B6" s="4" t="s">
        <v>251</v>
      </c>
      <c r="C6" s="4" t="s">
        <v>252</v>
      </c>
      <c r="D6" s="4" t="s">
        <v>248</v>
      </c>
      <c r="E6" s="4" t="s">
        <v>253</v>
      </c>
      <c r="F6" s="4">
        <v>24</v>
      </c>
      <c r="G6" s="4" t="str">
        <f t="shared" si="0"/>
        <v>adult</v>
      </c>
      <c r="H6" s="4" t="s">
        <v>249</v>
      </c>
      <c r="I6" s="4">
        <v>44655</v>
      </c>
      <c r="J6" s="4">
        <v>1.8</v>
      </c>
      <c r="K6" s="4">
        <v>86.2</v>
      </c>
      <c r="L6" s="4" t="s">
        <v>59</v>
      </c>
      <c r="M6" s="4">
        <v>49</v>
      </c>
      <c r="N6" s="4">
        <v>52</v>
      </c>
      <c r="O6" s="4">
        <v>165</v>
      </c>
      <c r="P6" s="4" t="s">
        <v>250</v>
      </c>
      <c r="Q6" s="4">
        <v>1</v>
      </c>
    </row>
    <row r="7" spans="1:17" x14ac:dyDescent="0.3">
      <c r="A7" s="4">
        <v>842919</v>
      </c>
      <c r="B7" s="4" t="s">
        <v>226</v>
      </c>
      <c r="C7" s="4" t="s">
        <v>973</v>
      </c>
      <c r="D7" s="4" t="s">
        <v>223</v>
      </c>
      <c r="E7" s="4" t="s">
        <v>227</v>
      </c>
      <c r="F7" s="4">
        <v>26</v>
      </c>
      <c r="G7" s="4" t="str">
        <f t="shared" si="0"/>
        <v>adult</v>
      </c>
      <c r="H7" s="4" t="s">
        <v>224</v>
      </c>
      <c r="I7" s="4">
        <v>44747</v>
      </c>
      <c r="J7" s="4">
        <v>1.56</v>
      </c>
      <c r="K7" s="4">
        <v>86.2</v>
      </c>
      <c r="L7" s="4" t="s">
        <v>59</v>
      </c>
      <c r="M7" s="4">
        <v>90</v>
      </c>
      <c r="N7" s="4">
        <v>47</v>
      </c>
      <c r="O7" s="4">
        <v>181</v>
      </c>
      <c r="P7" s="4" t="s">
        <v>225</v>
      </c>
      <c r="Q7" s="4">
        <v>1</v>
      </c>
    </row>
    <row r="8" spans="1:17" x14ac:dyDescent="0.3">
      <c r="A8" s="4">
        <v>1325298</v>
      </c>
      <c r="B8" s="4" t="s">
        <v>274</v>
      </c>
      <c r="C8" s="4" t="s">
        <v>275</v>
      </c>
      <c r="D8" s="4" t="s">
        <v>271</v>
      </c>
      <c r="E8" s="4" t="s">
        <v>276</v>
      </c>
      <c r="F8" s="4">
        <v>29</v>
      </c>
      <c r="G8" s="4" t="str">
        <f t="shared" si="0"/>
        <v>adult</v>
      </c>
      <c r="H8" s="4" t="s">
        <v>272</v>
      </c>
      <c r="I8" s="4">
        <v>44732</v>
      </c>
      <c r="J8" s="4">
        <v>1.8</v>
      </c>
      <c r="K8" s="4">
        <v>87.1</v>
      </c>
      <c r="L8" s="4" t="s">
        <v>59</v>
      </c>
      <c r="M8" s="4">
        <v>45</v>
      </c>
      <c r="N8" s="4">
        <v>56</v>
      </c>
      <c r="O8" s="4">
        <v>133</v>
      </c>
      <c r="P8" s="4" t="s">
        <v>273</v>
      </c>
      <c r="Q8" s="4">
        <v>1</v>
      </c>
    </row>
    <row r="9" spans="1:17" x14ac:dyDescent="0.3">
      <c r="A9" s="4">
        <v>180541</v>
      </c>
      <c r="B9" s="4" t="s">
        <v>127</v>
      </c>
      <c r="C9" s="4" t="s">
        <v>128</v>
      </c>
      <c r="D9" s="4" t="s">
        <v>78</v>
      </c>
      <c r="E9" s="4" t="s">
        <v>83</v>
      </c>
      <c r="F9" s="4">
        <v>27</v>
      </c>
      <c r="G9" s="4" t="str">
        <f t="shared" si="0"/>
        <v>adult</v>
      </c>
      <c r="H9" s="4" t="s">
        <v>125</v>
      </c>
      <c r="I9" s="4">
        <v>44602</v>
      </c>
      <c r="J9" s="4">
        <v>1.56</v>
      </c>
      <c r="K9" s="4">
        <v>94.3</v>
      </c>
      <c r="L9" s="4" t="s">
        <v>59</v>
      </c>
      <c r="M9" s="4">
        <v>233</v>
      </c>
      <c r="N9" s="4">
        <v>25</v>
      </c>
      <c r="O9" s="4">
        <v>116</v>
      </c>
      <c r="P9" s="4" t="s">
        <v>126</v>
      </c>
      <c r="Q9" s="4">
        <v>1</v>
      </c>
    </row>
    <row r="10" spans="1:17" x14ac:dyDescent="0.3">
      <c r="A10" s="4">
        <v>351417</v>
      </c>
      <c r="B10" s="4" t="s">
        <v>280</v>
      </c>
      <c r="C10" s="4" t="s">
        <v>281</v>
      </c>
      <c r="D10" s="4" t="s">
        <v>277</v>
      </c>
      <c r="E10" s="4" t="s">
        <v>282</v>
      </c>
      <c r="F10" s="4">
        <v>27</v>
      </c>
      <c r="G10" s="4" t="str">
        <f t="shared" si="0"/>
        <v>adult</v>
      </c>
      <c r="H10" s="4" t="s">
        <v>278</v>
      </c>
      <c r="I10" s="4">
        <v>44610</v>
      </c>
      <c r="J10" s="4">
        <v>1.8</v>
      </c>
      <c r="K10" s="4">
        <v>73.900000000000006</v>
      </c>
      <c r="L10" s="4" t="s">
        <v>59</v>
      </c>
      <c r="M10" s="4">
        <v>41</v>
      </c>
      <c r="N10" s="4">
        <v>57</v>
      </c>
      <c r="O10" s="4">
        <v>148</v>
      </c>
      <c r="P10" s="4" t="s">
        <v>279</v>
      </c>
      <c r="Q10" s="4">
        <v>1</v>
      </c>
    </row>
    <row r="11" spans="1:17" x14ac:dyDescent="0.3">
      <c r="A11" s="4">
        <v>164390</v>
      </c>
      <c r="B11" s="4" t="s">
        <v>769</v>
      </c>
      <c r="C11" s="4" t="s">
        <v>770</v>
      </c>
      <c r="D11" s="4" t="s">
        <v>107</v>
      </c>
      <c r="E11" s="4" t="s">
        <v>112</v>
      </c>
      <c r="F11" s="4">
        <v>39</v>
      </c>
      <c r="G11" s="4" t="str">
        <f t="shared" si="0"/>
        <v>adult</v>
      </c>
      <c r="H11" s="4" t="s">
        <v>767</v>
      </c>
      <c r="I11" s="4">
        <v>44925</v>
      </c>
      <c r="J11" s="4">
        <v>1.77</v>
      </c>
      <c r="K11" s="4">
        <v>91.6</v>
      </c>
      <c r="L11" s="4" t="s">
        <v>15</v>
      </c>
      <c r="M11" s="4">
        <v>560</v>
      </c>
      <c r="N11" s="4">
        <v>4</v>
      </c>
      <c r="O11" s="4">
        <v>355</v>
      </c>
      <c r="P11" s="4" t="s">
        <v>768</v>
      </c>
      <c r="Q11" s="4">
        <v>1</v>
      </c>
    </row>
    <row r="12" spans="1:17" x14ac:dyDescent="0.3">
      <c r="A12" s="4">
        <v>123429</v>
      </c>
      <c r="B12" s="4" t="s">
        <v>908</v>
      </c>
      <c r="C12" s="4" t="s">
        <v>909</v>
      </c>
      <c r="D12" s="4" t="s">
        <v>13</v>
      </c>
      <c r="E12" s="4" t="s">
        <v>19</v>
      </c>
      <c r="F12" s="4">
        <v>55</v>
      </c>
      <c r="G12" s="4" t="str">
        <f t="shared" si="0"/>
        <v>adult</v>
      </c>
      <c r="H12" s="4" t="s">
        <v>906</v>
      </c>
      <c r="I12" s="4">
        <v>44840</v>
      </c>
      <c r="J12" s="4">
        <v>1.65</v>
      </c>
      <c r="K12" s="4">
        <v>68.900000000000006</v>
      </c>
      <c r="L12" s="4" t="s">
        <v>15</v>
      </c>
      <c r="M12" s="4">
        <v>520</v>
      </c>
      <c r="N12" s="4">
        <v>3</v>
      </c>
      <c r="O12" s="4">
        <v>552</v>
      </c>
      <c r="P12" s="4" t="s">
        <v>907</v>
      </c>
      <c r="Q12" s="4">
        <v>1</v>
      </c>
    </row>
    <row r="13" spans="1:17" x14ac:dyDescent="0.3">
      <c r="A13" s="4">
        <v>191624</v>
      </c>
      <c r="B13" s="4" t="s">
        <v>428</v>
      </c>
      <c r="C13" s="4" t="s">
        <v>429</v>
      </c>
      <c r="D13" s="4" t="s">
        <v>425</v>
      </c>
      <c r="E13" s="4" t="s">
        <v>430</v>
      </c>
      <c r="F13" s="4">
        <v>33</v>
      </c>
      <c r="G13" s="4" t="str">
        <f t="shared" si="0"/>
        <v>adult</v>
      </c>
      <c r="H13" s="4" t="s">
        <v>426</v>
      </c>
      <c r="I13" s="4">
        <v>44633</v>
      </c>
      <c r="J13" s="4">
        <v>0.18</v>
      </c>
      <c r="K13" s="4">
        <v>83.9</v>
      </c>
      <c r="L13" s="4" t="s">
        <v>59</v>
      </c>
      <c r="M13" s="4">
        <v>-9</v>
      </c>
      <c r="N13" s="4">
        <v>84</v>
      </c>
      <c r="O13" s="4">
        <v>186</v>
      </c>
      <c r="P13" s="4" t="s">
        <v>427</v>
      </c>
      <c r="Q13" s="4">
        <v>1</v>
      </c>
    </row>
    <row r="14" spans="1:17" x14ac:dyDescent="0.3">
      <c r="A14" s="4">
        <v>315266</v>
      </c>
      <c r="B14" s="4" t="s">
        <v>328</v>
      </c>
      <c r="C14" s="4" t="s">
        <v>329</v>
      </c>
      <c r="D14" s="4" t="s">
        <v>325</v>
      </c>
      <c r="E14" s="4" t="s">
        <v>330</v>
      </c>
      <c r="F14" s="4">
        <v>25</v>
      </c>
      <c r="G14" s="4" t="str">
        <f t="shared" si="0"/>
        <v>adult</v>
      </c>
      <c r="H14" s="4" t="s">
        <v>326</v>
      </c>
      <c r="I14" s="4">
        <v>44638</v>
      </c>
      <c r="J14" s="4">
        <v>1.74</v>
      </c>
      <c r="K14" s="4">
        <v>79.8</v>
      </c>
      <c r="L14" s="4" t="s">
        <v>59</v>
      </c>
      <c r="M14" s="4">
        <v>25</v>
      </c>
      <c r="N14" s="4">
        <v>66</v>
      </c>
      <c r="O14" s="4">
        <v>172</v>
      </c>
      <c r="P14" s="4" t="s">
        <v>327</v>
      </c>
      <c r="Q14" s="4">
        <v>1</v>
      </c>
    </row>
    <row r="15" spans="1:17" x14ac:dyDescent="0.3">
      <c r="A15" s="4">
        <v>9839</v>
      </c>
      <c r="B15" s="4" t="s">
        <v>484</v>
      </c>
      <c r="C15" s="4" t="s">
        <v>485</v>
      </c>
      <c r="D15" s="4" t="s">
        <v>481</v>
      </c>
      <c r="E15" s="4" t="s">
        <v>486</v>
      </c>
      <c r="F15" s="4">
        <v>36</v>
      </c>
      <c r="G15" s="4" t="str">
        <f t="shared" si="0"/>
        <v>adult</v>
      </c>
      <c r="H15" s="4" t="s">
        <v>482</v>
      </c>
      <c r="I15" s="4">
        <v>44743</v>
      </c>
      <c r="J15" s="4">
        <v>1.55</v>
      </c>
      <c r="K15" s="4">
        <v>81.2</v>
      </c>
      <c r="L15" s="4" t="s">
        <v>59</v>
      </c>
      <c r="M15" s="4">
        <v>-20</v>
      </c>
      <c r="N15" s="4">
        <v>95</v>
      </c>
      <c r="O15" s="4">
        <v>232</v>
      </c>
      <c r="P15" s="4" t="s">
        <v>483</v>
      </c>
      <c r="Q15" s="4">
        <v>1</v>
      </c>
    </row>
    <row r="16" spans="1:17" x14ac:dyDescent="0.3">
      <c r="A16" s="4">
        <v>96918</v>
      </c>
      <c r="B16" s="4" t="s">
        <v>728</v>
      </c>
      <c r="C16" s="4" t="s">
        <v>729</v>
      </c>
      <c r="D16" s="4" t="s">
        <v>725</v>
      </c>
      <c r="E16" s="4" t="s">
        <v>730</v>
      </c>
      <c r="F16" s="4">
        <v>30</v>
      </c>
      <c r="G16" s="4" t="str">
        <f t="shared" si="0"/>
        <v>adult</v>
      </c>
      <c r="H16" s="4" t="s">
        <v>726</v>
      </c>
      <c r="I16" s="4">
        <v>44728</v>
      </c>
      <c r="J16" s="4">
        <v>1.71</v>
      </c>
      <c r="K16" s="4">
        <v>73.5</v>
      </c>
      <c r="L16" s="4" t="s">
        <v>59</v>
      </c>
      <c r="M16" s="4">
        <v>-63</v>
      </c>
      <c r="N16" s="4">
        <v>138</v>
      </c>
      <c r="O16" s="4">
        <v>221</v>
      </c>
      <c r="P16" s="4" t="s">
        <v>727</v>
      </c>
      <c r="Q16" s="4">
        <v>1</v>
      </c>
    </row>
    <row r="17" spans="1:17" x14ac:dyDescent="0.3">
      <c r="A17" s="4">
        <v>23655</v>
      </c>
      <c r="B17" s="4" t="s">
        <v>137</v>
      </c>
      <c r="C17" s="4" t="s">
        <v>138</v>
      </c>
      <c r="D17" s="4" t="s">
        <v>134</v>
      </c>
      <c r="E17" s="4" t="s">
        <v>139</v>
      </c>
      <c r="F17" s="4">
        <v>29</v>
      </c>
      <c r="G17" s="4" t="str">
        <f t="shared" si="0"/>
        <v>adult</v>
      </c>
      <c r="H17" s="4" t="s">
        <v>135</v>
      </c>
      <c r="I17" s="4">
        <v>44626</v>
      </c>
      <c r="J17" s="4">
        <v>1.55</v>
      </c>
      <c r="K17" s="4">
        <v>88</v>
      </c>
      <c r="L17" s="4" t="s">
        <v>59</v>
      </c>
      <c r="M17" s="4">
        <v>218</v>
      </c>
      <c r="N17" s="4">
        <v>27</v>
      </c>
      <c r="O17" s="4">
        <v>145</v>
      </c>
      <c r="P17" s="4" t="s">
        <v>136</v>
      </c>
      <c r="Q17" s="4">
        <v>1</v>
      </c>
    </row>
    <row r="18" spans="1:17" x14ac:dyDescent="0.3">
      <c r="A18" s="4">
        <v>432338</v>
      </c>
      <c r="B18" s="4" t="s">
        <v>206</v>
      </c>
      <c r="C18" s="4" t="s">
        <v>207</v>
      </c>
      <c r="D18" s="4" t="s">
        <v>203</v>
      </c>
      <c r="E18" s="4" t="s">
        <v>208</v>
      </c>
      <c r="F18" s="4">
        <v>26</v>
      </c>
      <c r="G18" s="4" t="str">
        <f t="shared" si="0"/>
        <v>adult</v>
      </c>
      <c r="H18" s="4" t="s">
        <v>204</v>
      </c>
      <c r="I18" s="4">
        <v>44669</v>
      </c>
      <c r="J18" s="4">
        <v>1.8</v>
      </c>
      <c r="K18" s="4">
        <v>87.1</v>
      </c>
      <c r="L18" s="4" t="s">
        <v>59</v>
      </c>
      <c r="M18" s="4">
        <v>108</v>
      </c>
      <c r="N18" s="4">
        <v>43</v>
      </c>
      <c r="O18" s="4">
        <v>143</v>
      </c>
      <c r="P18" s="4" t="s">
        <v>205</v>
      </c>
      <c r="Q18" s="4">
        <v>1</v>
      </c>
    </row>
    <row r="19" spans="1:17" x14ac:dyDescent="0.3">
      <c r="A19" s="4">
        <v>1122311</v>
      </c>
      <c r="B19" s="4" t="s">
        <v>698</v>
      </c>
      <c r="C19" s="4" t="s">
        <v>699</v>
      </c>
      <c r="D19" s="4" t="s">
        <v>695</v>
      </c>
      <c r="E19" s="4" t="s">
        <v>700</v>
      </c>
      <c r="F19" s="4">
        <v>21</v>
      </c>
      <c r="G19" s="4" t="str">
        <f t="shared" si="0"/>
        <v>adult</v>
      </c>
      <c r="H19" s="4" t="s">
        <v>696</v>
      </c>
      <c r="I19" s="4">
        <v>44761</v>
      </c>
      <c r="J19" s="4">
        <v>1.77</v>
      </c>
      <c r="K19" s="4">
        <v>83.9</v>
      </c>
      <c r="L19" s="4" t="s">
        <v>59</v>
      </c>
      <c r="M19" s="4">
        <v>-59</v>
      </c>
      <c r="N19" s="4">
        <v>134</v>
      </c>
      <c r="O19" s="4">
        <v>193</v>
      </c>
      <c r="P19" s="4" t="s">
        <v>697</v>
      </c>
      <c r="Q19" s="4">
        <v>1</v>
      </c>
    </row>
    <row r="20" spans="1:17" x14ac:dyDescent="0.3">
      <c r="A20" s="4">
        <v>1382942</v>
      </c>
      <c r="B20" s="4" t="s">
        <v>755</v>
      </c>
      <c r="C20" s="4" t="s">
        <v>756</v>
      </c>
      <c r="D20" s="4" t="s">
        <v>752</v>
      </c>
      <c r="E20" s="4" t="s">
        <v>757</v>
      </c>
      <c r="F20" s="4">
        <v>27</v>
      </c>
      <c r="G20" s="4" t="str">
        <f t="shared" si="0"/>
        <v>adult</v>
      </c>
      <c r="H20" s="4" t="s">
        <v>753</v>
      </c>
      <c r="I20" s="4">
        <v>44738</v>
      </c>
      <c r="J20" s="4">
        <v>1.55</v>
      </c>
      <c r="K20" s="4">
        <v>91.2</v>
      </c>
      <c r="L20" s="4" t="s">
        <v>754</v>
      </c>
      <c r="M20" s="4" t="s">
        <v>965</v>
      </c>
      <c r="N20" s="4" t="s">
        <v>977</v>
      </c>
      <c r="O20" s="4">
        <v>218</v>
      </c>
      <c r="P20" s="4" t="s">
        <v>225</v>
      </c>
      <c r="Q20" s="4">
        <v>1</v>
      </c>
    </row>
    <row r="21" spans="1:17" x14ac:dyDescent="0.3">
      <c r="A21" s="4">
        <v>231921</v>
      </c>
      <c r="B21" s="4" t="s">
        <v>304</v>
      </c>
      <c r="C21" s="4" t="s">
        <v>305</v>
      </c>
      <c r="D21" s="4" t="s">
        <v>301</v>
      </c>
      <c r="E21" s="4" t="s">
        <v>306</v>
      </c>
      <c r="F21" s="4">
        <v>33</v>
      </c>
      <c r="G21" s="4" t="str">
        <f t="shared" si="0"/>
        <v>adult</v>
      </c>
      <c r="H21" s="4" t="s">
        <v>302</v>
      </c>
      <c r="I21" s="4">
        <v>44755</v>
      </c>
      <c r="J21" s="4">
        <v>1.77</v>
      </c>
      <c r="K21" s="4">
        <v>76.7</v>
      </c>
      <c r="L21" s="4" t="s">
        <v>59</v>
      </c>
      <c r="M21" s="4">
        <v>33</v>
      </c>
      <c r="N21" s="4">
        <v>61</v>
      </c>
      <c r="O21" s="4">
        <v>166</v>
      </c>
      <c r="P21" s="4" t="s">
        <v>303</v>
      </c>
      <c r="Q21" s="4">
        <v>1</v>
      </c>
    </row>
    <row r="22" spans="1:17" x14ac:dyDescent="0.3">
      <c r="A22" s="4">
        <v>858387</v>
      </c>
      <c r="B22" s="4" t="s">
        <v>316</v>
      </c>
      <c r="C22" s="4" t="s">
        <v>317</v>
      </c>
      <c r="D22" s="4" t="s">
        <v>315</v>
      </c>
      <c r="E22" s="4" t="s">
        <v>318</v>
      </c>
      <c r="F22" s="4">
        <v>29</v>
      </c>
      <c r="G22" s="4" t="str">
        <f t="shared" si="0"/>
        <v>adult</v>
      </c>
      <c r="H22" s="4" t="s">
        <v>965</v>
      </c>
      <c r="I22" s="4" t="s">
        <v>965</v>
      </c>
      <c r="J22" s="4">
        <v>1.56</v>
      </c>
      <c r="K22" s="4">
        <v>91.2</v>
      </c>
      <c r="L22" s="4" t="s">
        <v>59</v>
      </c>
      <c r="M22" s="4">
        <v>31</v>
      </c>
      <c r="N22" s="4">
        <v>64</v>
      </c>
      <c r="O22" s="4">
        <v>178</v>
      </c>
      <c r="P22" s="4" t="s">
        <v>225</v>
      </c>
      <c r="Q22" s="4">
        <v>1</v>
      </c>
    </row>
    <row r="23" spans="1:17" x14ac:dyDescent="0.3">
      <c r="A23" s="4">
        <v>179080</v>
      </c>
      <c r="B23" s="4" t="s">
        <v>479</v>
      </c>
      <c r="C23" s="4" t="s">
        <v>480</v>
      </c>
      <c r="D23" s="4" t="s">
        <v>198</v>
      </c>
      <c r="E23" s="4" t="s">
        <v>202</v>
      </c>
      <c r="F23" s="4">
        <v>29</v>
      </c>
      <c r="G23" s="4" t="str">
        <f t="shared" si="0"/>
        <v>adult</v>
      </c>
      <c r="H23" s="4" t="s">
        <v>477</v>
      </c>
      <c r="I23" s="4">
        <v>44621</v>
      </c>
      <c r="J23" s="4">
        <v>1.55</v>
      </c>
      <c r="K23" s="4">
        <v>83</v>
      </c>
      <c r="L23" s="4" t="s">
        <v>59</v>
      </c>
      <c r="M23" s="4">
        <v>-19</v>
      </c>
      <c r="N23" s="4">
        <v>94</v>
      </c>
      <c r="O23" s="4">
        <v>129</v>
      </c>
      <c r="P23" s="4" t="s">
        <v>478</v>
      </c>
      <c r="Q23" s="4">
        <v>1</v>
      </c>
    </row>
    <row r="24" spans="1:17" x14ac:dyDescent="0.3">
      <c r="A24" s="4">
        <v>337194</v>
      </c>
      <c r="B24" s="4" t="s">
        <v>543</v>
      </c>
      <c r="C24" s="4" t="s">
        <v>544</v>
      </c>
      <c r="D24" s="4" t="s">
        <v>32</v>
      </c>
      <c r="E24" s="4" t="s">
        <v>37</v>
      </c>
      <c r="F24" s="4">
        <v>24</v>
      </c>
      <c r="G24" s="4" t="str">
        <f t="shared" si="0"/>
        <v>adult</v>
      </c>
      <c r="H24" s="4" t="s">
        <v>542</v>
      </c>
      <c r="I24" s="4">
        <v>44723</v>
      </c>
      <c r="J24" s="4">
        <v>1.55</v>
      </c>
      <c r="K24" s="4">
        <v>89.8</v>
      </c>
      <c r="L24" s="4" t="s">
        <v>59</v>
      </c>
      <c r="M24" s="4">
        <v>-31</v>
      </c>
      <c r="N24" s="4">
        <v>106</v>
      </c>
      <c r="O24" s="4">
        <v>126</v>
      </c>
      <c r="P24" s="4" t="s">
        <v>225</v>
      </c>
      <c r="Q24" s="4">
        <v>1</v>
      </c>
    </row>
    <row r="25" spans="1:17" x14ac:dyDescent="0.3">
      <c r="A25" s="4">
        <v>43761</v>
      </c>
      <c r="B25" s="4" t="s">
        <v>142</v>
      </c>
      <c r="C25" s="4" t="s">
        <v>77</v>
      </c>
      <c r="D25" s="4" t="s">
        <v>13</v>
      </c>
      <c r="E25" s="4" t="s">
        <v>19</v>
      </c>
      <c r="F25" s="4">
        <v>29</v>
      </c>
      <c r="G25" s="4" t="str">
        <f t="shared" si="0"/>
        <v>adult</v>
      </c>
      <c r="H25" s="4" t="s">
        <v>140</v>
      </c>
      <c r="I25" s="4">
        <v>44795</v>
      </c>
      <c r="J25" s="4">
        <v>1.56</v>
      </c>
      <c r="K25" s="4">
        <v>88.5</v>
      </c>
      <c r="L25" s="4" t="s">
        <v>59</v>
      </c>
      <c r="M25" s="4">
        <v>217</v>
      </c>
      <c r="N25" s="4">
        <v>28</v>
      </c>
      <c r="O25" s="4">
        <v>15</v>
      </c>
      <c r="P25" s="4" t="s">
        <v>141</v>
      </c>
      <c r="Q25" s="4">
        <v>1</v>
      </c>
    </row>
    <row r="26" spans="1:17" x14ac:dyDescent="0.3">
      <c r="A26" s="4">
        <v>95809</v>
      </c>
      <c r="B26" s="4" t="s">
        <v>838</v>
      </c>
      <c r="C26" s="4" t="s">
        <v>839</v>
      </c>
      <c r="D26" s="4" t="s">
        <v>661</v>
      </c>
      <c r="E26" s="4" t="s">
        <v>666</v>
      </c>
      <c r="F26" s="4">
        <v>48</v>
      </c>
      <c r="G26" s="4" t="str">
        <f t="shared" si="0"/>
        <v>adult</v>
      </c>
      <c r="H26" s="4" t="s">
        <v>836</v>
      </c>
      <c r="I26" s="4">
        <v>44879</v>
      </c>
      <c r="J26" s="4">
        <v>1.74</v>
      </c>
      <c r="K26" s="4">
        <v>79.8</v>
      </c>
      <c r="L26" s="4" t="s">
        <v>15</v>
      </c>
      <c r="M26" s="4">
        <v>510</v>
      </c>
      <c r="N26" s="4">
        <v>4</v>
      </c>
      <c r="O26" s="4">
        <v>456</v>
      </c>
      <c r="P26" s="4" t="s">
        <v>837</v>
      </c>
      <c r="Q26" s="4">
        <v>1</v>
      </c>
    </row>
    <row r="27" spans="1:17" x14ac:dyDescent="0.3">
      <c r="A27" s="4">
        <v>457993</v>
      </c>
      <c r="B27" s="4" t="s">
        <v>704</v>
      </c>
      <c r="C27" s="4" t="s">
        <v>705</v>
      </c>
      <c r="D27" s="4" t="s">
        <v>701</v>
      </c>
      <c r="E27" s="4" t="s">
        <v>706</v>
      </c>
      <c r="F27" s="4">
        <v>31</v>
      </c>
      <c r="G27" s="4" t="str">
        <f t="shared" si="0"/>
        <v>adult</v>
      </c>
      <c r="H27" s="4" t="s">
        <v>702</v>
      </c>
      <c r="I27" s="4">
        <v>44683</v>
      </c>
      <c r="J27" s="4">
        <v>1.71</v>
      </c>
      <c r="K27" s="4">
        <v>66.2</v>
      </c>
      <c r="L27" s="4" t="s">
        <v>59</v>
      </c>
      <c r="M27" s="4">
        <v>-59</v>
      </c>
      <c r="N27" s="4">
        <v>134</v>
      </c>
      <c r="O27" s="4">
        <v>216</v>
      </c>
      <c r="P27" s="4" t="s">
        <v>703</v>
      </c>
      <c r="Q27" s="4">
        <v>1</v>
      </c>
    </row>
    <row r="28" spans="1:17" x14ac:dyDescent="0.3">
      <c r="A28" s="4">
        <v>81616</v>
      </c>
      <c r="B28" s="4" t="s">
        <v>967</v>
      </c>
      <c r="C28" s="4" t="s">
        <v>966</v>
      </c>
      <c r="D28" s="4" t="s">
        <v>24</v>
      </c>
      <c r="E28" s="4" t="s">
        <v>27</v>
      </c>
      <c r="F28" s="4">
        <v>26</v>
      </c>
      <c r="G28" s="4" t="str">
        <f t="shared" si="0"/>
        <v>adult</v>
      </c>
      <c r="H28" s="4" t="s">
        <v>25</v>
      </c>
      <c r="I28" s="4">
        <v>44753</v>
      </c>
      <c r="J28" s="4">
        <v>1.55</v>
      </c>
      <c r="K28" s="4">
        <v>83.9</v>
      </c>
      <c r="L28" s="4" t="s">
        <v>15</v>
      </c>
      <c r="M28" s="4">
        <v>888</v>
      </c>
      <c r="N28" s="4">
        <v>3</v>
      </c>
      <c r="O28" s="4">
        <v>122</v>
      </c>
      <c r="P28" s="4" t="s">
        <v>26</v>
      </c>
      <c r="Q28" s="4">
        <v>1</v>
      </c>
    </row>
    <row r="29" spans="1:17" x14ac:dyDescent="0.3">
      <c r="A29" s="4">
        <v>76101</v>
      </c>
      <c r="B29" s="4" t="s">
        <v>849</v>
      </c>
      <c r="C29" s="4" t="s">
        <v>850</v>
      </c>
      <c r="D29" s="4" t="s">
        <v>13</v>
      </c>
      <c r="E29" s="4" t="s">
        <v>19</v>
      </c>
      <c r="F29" s="4">
        <v>49</v>
      </c>
      <c r="G29" s="4" t="str">
        <f t="shared" si="0"/>
        <v>adult</v>
      </c>
      <c r="H29" s="4" t="s">
        <v>847</v>
      </c>
      <c r="I29" s="4">
        <v>44915</v>
      </c>
      <c r="J29" s="4">
        <v>1.68</v>
      </c>
      <c r="K29" s="4">
        <v>74.8</v>
      </c>
      <c r="L29" s="4" t="s">
        <v>15</v>
      </c>
      <c r="M29" s="4">
        <v>390</v>
      </c>
      <c r="N29" s="4">
        <v>7</v>
      </c>
      <c r="O29" s="4">
        <v>453</v>
      </c>
      <c r="P29" s="4" t="s">
        <v>848</v>
      </c>
      <c r="Q29" s="4">
        <v>1</v>
      </c>
    </row>
    <row r="30" spans="1:17" x14ac:dyDescent="0.3">
      <c r="A30" s="4">
        <v>110150</v>
      </c>
      <c r="B30" s="4" t="s">
        <v>849</v>
      </c>
      <c r="C30" s="4" t="s">
        <v>857</v>
      </c>
      <c r="D30" s="4" t="s">
        <v>13</v>
      </c>
      <c r="E30" s="4" t="s">
        <v>19</v>
      </c>
      <c r="F30" s="4">
        <v>46</v>
      </c>
      <c r="G30" s="4" t="str">
        <f t="shared" si="0"/>
        <v>adult</v>
      </c>
      <c r="H30" s="4" t="s">
        <v>855</v>
      </c>
      <c r="I30" s="4">
        <v>44818</v>
      </c>
      <c r="J30" s="4">
        <v>1.56</v>
      </c>
      <c r="K30" s="4">
        <v>83.9</v>
      </c>
      <c r="L30" s="4" t="s">
        <v>15</v>
      </c>
      <c r="M30" s="4">
        <v>210</v>
      </c>
      <c r="N30" s="4">
        <v>9</v>
      </c>
      <c r="O30" s="4">
        <v>455</v>
      </c>
      <c r="P30" s="4" t="s">
        <v>856</v>
      </c>
      <c r="Q30" s="4">
        <v>1</v>
      </c>
    </row>
    <row r="31" spans="1:17" x14ac:dyDescent="0.3">
      <c r="A31" s="4">
        <v>107101</v>
      </c>
      <c r="B31" s="4" t="s">
        <v>119</v>
      </c>
      <c r="C31" s="4" t="s">
        <v>120</v>
      </c>
      <c r="D31" s="4" t="s">
        <v>78</v>
      </c>
      <c r="E31" s="4" t="s">
        <v>83</v>
      </c>
      <c r="F31" s="4">
        <v>28</v>
      </c>
      <c r="G31" s="4" t="str">
        <f t="shared" si="0"/>
        <v>adult</v>
      </c>
      <c r="H31" s="4" t="s">
        <v>117</v>
      </c>
      <c r="I31" s="4">
        <v>44790</v>
      </c>
      <c r="J31" s="4">
        <v>1.89</v>
      </c>
      <c r="K31" s="4">
        <v>98.4</v>
      </c>
      <c r="L31" s="4" t="s">
        <v>59</v>
      </c>
      <c r="M31" s="4">
        <v>243</v>
      </c>
      <c r="N31" s="4">
        <v>23</v>
      </c>
      <c r="O31" s="4">
        <v>308</v>
      </c>
      <c r="P31" s="4" t="s">
        <v>118</v>
      </c>
      <c r="Q31" s="4">
        <v>1</v>
      </c>
    </row>
    <row r="32" spans="1:17" x14ac:dyDescent="0.3">
      <c r="A32" s="4">
        <v>167005</v>
      </c>
      <c r="B32" s="4" t="s">
        <v>812</v>
      </c>
      <c r="C32" s="4" t="s">
        <v>813</v>
      </c>
      <c r="D32" s="4" t="s">
        <v>13</v>
      </c>
      <c r="E32" s="4" t="s">
        <v>19</v>
      </c>
      <c r="F32" s="4">
        <v>41</v>
      </c>
      <c r="G32" s="4" t="str">
        <f t="shared" si="0"/>
        <v>adult</v>
      </c>
      <c r="H32" s="4" t="s">
        <v>810</v>
      </c>
      <c r="I32" s="4">
        <v>44816</v>
      </c>
      <c r="J32" s="4">
        <v>1.56</v>
      </c>
      <c r="K32" s="4">
        <v>85.3</v>
      </c>
      <c r="L32" s="4" t="s">
        <v>15</v>
      </c>
      <c r="M32" s="4">
        <v>400</v>
      </c>
      <c r="N32" s="4">
        <v>7</v>
      </c>
      <c r="O32" s="4">
        <v>406</v>
      </c>
      <c r="P32" s="4" t="s">
        <v>811</v>
      </c>
      <c r="Q32" s="4">
        <v>1</v>
      </c>
    </row>
    <row r="33" spans="1:17" x14ac:dyDescent="0.3">
      <c r="A33" s="4">
        <v>250172</v>
      </c>
      <c r="B33" s="4" t="s">
        <v>200</v>
      </c>
      <c r="C33" s="4" t="s">
        <v>201</v>
      </c>
      <c r="D33" s="4" t="s">
        <v>198</v>
      </c>
      <c r="E33" s="4" t="s">
        <v>202</v>
      </c>
      <c r="F33" s="4">
        <v>30</v>
      </c>
      <c r="G33" s="4" t="str">
        <f t="shared" si="0"/>
        <v>adult</v>
      </c>
      <c r="H33" s="4" t="s">
        <v>965</v>
      </c>
      <c r="I33" s="4" t="s">
        <v>965</v>
      </c>
      <c r="J33" s="4">
        <v>1.83</v>
      </c>
      <c r="K33" s="4">
        <v>98.9</v>
      </c>
      <c r="L33" s="4" t="s">
        <v>59</v>
      </c>
      <c r="M33" s="4">
        <v>112</v>
      </c>
      <c r="N33" s="4">
        <v>42</v>
      </c>
      <c r="O33" s="4">
        <v>305</v>
      </c>
      <c r="P33" s="4" t="s">
        <v>199</v>
      </c>
      <c r="Q33" s="4">
        <v>1</v>
      </c>
    </row>
    <row r="34" spans="1:17" x14ac:dyDescent="0.3">
      <c r="A34" s="4">
        <v>13342</v>
      </c>
      <c r="B34" s="4" t="s">
        <v>859</v>
      </c>
      <c r="C34" s="4" t="s">
        <v>860</v>
      </c>
      <c r="D34" s="4" t="s">
        <v>13</v>
      </c>
      <c r="E34" s="4" t="s">
        <v>19</v>
      </c>
      <c r="F34" s="4">
        <v>46</v>
      </c>
      <c r="G34" s="4" t="str">
        <f t="shared" si="0"/>
        <v>adult</v>
      </c>
      <c r="H34" s="4" t="s">
        <v>14</v>
      </c>
      <c r="I34" s="4">
        <v>44632</v>
      </c>
      <c r="J34" s="4">
        <v>1.71</v>
      </c>
      <c r="K34" s="4">
        <v>79.400000000000006</v>
      </c>
      <c r="L34" s="4" t="s">
        <v>754</v>
      </c>
      <c r="M34" s="4">
        <v>350</v>
      </c>
      <c r="N34" s="4">
        <v>10</v>
      </c>
      <c r="O34" s="4">
        <v>459</v>
      </c>
      <c r="P34" s="4" t="s">
        <v>858</v>
      </c>
      <c r="Q34" s="4">
        <v>1</v>
      </c>
    </row>
    <row r="35" spans="1:17" x14ac:dyDescent="0.3">
      <c r="A35" s="4">
        <v>12819</v>
      </c>
      <c r="B35" s="4" t="s">
        <v>859</v>
      </c>
      <c r="C35" s="4" t="s">
        <v>915</v>
      </c>
      <c r="D35" s="4" t="s">
        <v>78</v>
      </c>
      <c r="E35" s="4" t="s">
        <v>83</v>
      </c>
      <c r="F35" s="4">
        <v>55</v>
      </c>
      <c r="G35" s="4" t="str">
        <f t="shared" si="0"/>
        <v>adult</v>
      </c>
      <c r="H35" s="4" t="s">
        <v>913</v>
      </c>
      <c r="I35" s="4">
        <v>44838</v>
      </c>
      <c r="J35" s="4">
        <v>1.55</v>
      </c>
      <c r="K35" s="4">
        <v>79.400000000000006</v>
      </c>
      <c r="L35" s="4" t="s">
        <v>15</v>
      </c>
      <c r="M35" s="4">
        <v>460</v>
      </c>
      <c r="N35" s="4">
        <v>5</v>
      </c>
      <c r="O35" s="4">
        <v>555</v>
      </c>
      <c r="P35" s="4" t="s">
        <v>914</v>
      </c>
      <c r="Q35" s="4">
        <v>1</v>
      </c>
    </row>
    <row r="36" spans="1:17" x14ac:dyDescent="0.3">
      <c r="A36" s="4">
        <v>468290</v>
      </c>
      <c r="B36" s="4" t="s">
        <v>246</v>
      </c>
      <c r="C36" s="4" t="s">
        <v>974</v>
      </c>
      <c r="D36" s="4" t="s">
        <v>243</v>
      </c>
      <c r="E36" s="4" t="s">
        <v>247</v>
      </c>
      <c r="F36" s="4">
        <v>21</v>
      </c>
      <c r="G36" s="4" t="str">
        <f t="shared" si="0"/>
        <v>adult</v>
      </c>
      <c r="H36" s="4" t="s">
        <v>244</v>
      </c>
      <c r="I36" s="4">
        <v>44734</v>
      </c>
      <c r="J36" s="4">
        <v>1.71</v>
      </c>
      <c r="K36" s="4">
        <v>74.8</v>
      </c>
      <c r="L36" s="4" t="s">
        <v>59</v>
      </c>
      <c r="M36" s="4">
        <v>53</v>
      </c>
      <c r="N36" s="4">
        <v>51</v>
      </c>
      <c r="O36" s="4">
        <v>161</v>
      </c>
      <c r="P36" s="4" t="s">
        <v>245</v>
      </c>
      <c r="Q36" s="4">
        <v>1</v>
      </c>
    </row>
    <row r="37" spans="1:17" x14ac:dyDescent="0.3">
      <c r="A37" s="4">
        <v>278759</v>
      </c>
      <c r="B37" s="4" t="s">
        <v>802</v>
      </c>
      <c r="C37" s="4" t="s">
        <v>803</v>
      </c>
      <c r="D37" s="4" t="s">
        <v>32</v>
      </c>
      <c r="E37" s="4" t="s">
        <v>37</v>
      </c>
      <c r="F37" s="4">
        <v>40</v>
      </c>
      <c r="G37" s="4" t="str">
        <f t="shared" si="0"/>
        <v>adult</v>
      </c>
      <c r="H37" s="4" t="s">
        <v>800</v>
      </c>
      <c r="I37" s="4">
        <v>44866</v>
      </c>
      <c r="J37" s="4">
        <v>1.95</v>
      </c>
      <c r="K37" s="4">
        <v>98</v>
      </c>
      <c r="L37" s="4" t="s">
        <v>15</v>
      </c>
      <c r="M37" s="4">
        <v>450</v>
      </c>
      <c r="N37" s="4">
        <v>4</v>
      </c>
      <c r="O37" s="4">
        <v>409</v>
      </c>
      <c r="P37" s="4" t="s">
        <v>801</v>
      </c>
      <c r="Q37" s="4">
        <v>1</v>
      </c>
    </row>
    <row r="38" spans="1:17" x14ac:dyDescent="0.3">
      <c r="A38" s="4">
        <v>536200</v>
      </c>
      <c r="B38" s="4" t="s">
        <v>939</v>
      </c>
      <c r="C38" s="4" t="s">
        <v>940</v>
      </c>
      <c r="D38" s="4" t="s">
        <v>13</v>
      </c>
      <c r="E38" s="4" t="s">
        <v>19</v>
      </c>
      <c r="F38" s="4">
        <v>60</v>
      </c>
      <c r="G38" s="4" t="str">
        <f t="shared" si="0"/>
        <v>adult</v>
      </c>
      <c r="H38" s="4" t="s">
        <v>937</v>
      </c>
      <c r="I38" s="4">
        <v>44827</v>
      </c>
      <c r="J38" s="4">
        <v>1.74</v>
      </c>
      <c r="K38" s="4">
        <v>74.400000000000006</v>
      </c>
      <c r="L38" s="4" t="s">
        <v>15</v>
      </c>
      <c r="M38" s="4">
        <v>470</v>
      </c>
      <c r="N38" s="4">
        <v>4</v>
      </c>
      <c r="O38" s="4">
        <v>603</v>
      </c>
      <c r="P38" s="4" t="s">
        <v>938</v>
      </c>
      <c r="Q38" s="4">
        <v>1</v>
      </c>
    </row>
    <row r="39" spans="1:17" x14ac:dyDescent="0.3">
      <c r="A39" s="4">
        <v>230757</v>
      </c>
      <c r="B39" s="4" t="s">
        <v>104</v>
      </c>
      <c r="C39" s="4" t="s">
        <v>105</v>
      </c>
      <c r="D39" s="4" t="s">
        <v>101</v>
      </c>
      <c r="E39" s="4" t="s">
        <v>106</v>
      </c>
      <c r="F39" s="4">
        <v>28</v>
      </c>
      <c r="G39" s="4" t="str">
        <f t="shared" si="0"/>
        <v>adult</v>
      </c>
      <c r="H39" s="4" t="s">
        <v>102</v>
      </c>
      <c r="I39" s="4">
        <v>44593</v>
      </c>
      <c r="J39" s="4">
        <v>1.83</v>
      </c>
      <c r="K39" s="4">
        <v>86.2</v>
      </c>
      <c r="L39" s="4" t="s">
        <v>59</v>
      </c>
      <c r="M39" s="4">
        <v>251</v>
      </c>
      <c r="N39" s="4">
        <v>20</v>
      </c>
      <c r="O39" s="4">
        <v>115</v>
      </c>
      <c r="P39" s="4" t="s">
        <v>103</v>
      </c>
      <c r="Q39" s="4">
        <v>1</v>
      </c>
    </row>
    <row r="40" spans="1:17" x14ac:dyDescent="0.3">
      <c r="A40" s="4">
        <v>26902</v>
      </c>
      <c r="B40" s="4" t="s">
        <v>835</v>
      </c>
      <c r="C40" s="4" t="s">
        <v>316</v>
      </c>
      <c r="D40" s="4" t="s">
        <v>13</v>
      </c>
      <c r="E40" s="4" t="s">
        <v>19</v>
      </c>
      <c r="F40" s="4">
        <v>45</v>
      </c>
      <c r="G40" s="4" t="str">
        <f t="shared" si="0"/>
        <v>adult</v>
      </c>
      <c r="H40" s="4" t="s">
        <v>833</v>
      </c>
      <c r="I40" s="4">
        <v>44836</v>
      </c>
      <c r="J40" s="4">
        <v>1.74</v>
      </c>
      <c r="K40" s="4">
        <v>77.599999999999994</v>
      </c>
      <c r="L40" s="4" t="s">
        <v>15</v>
      </c>
      <c r="M40" s="4">
        <v>520</v>
      </c>
      <c r="N40" s="4">
        <v>3</v>
      </c>
      <c r="O40" s="4">
        <v>454</v>
      </c>
      <c r="P40" s="4" t="s">
        <v>834</v>
      </c>
      <c r="Q40" s="4">
        <v>1</v>
      </c>
    </row>
    <row r="41" spans="1:17" x14ac:dyDescent="0.3">
      <c r="A41" s="4">
        <v>848265</v>
      </c>
      <c r="B41" s="4" t="s">
        <v>632</v>
      </c>
      <c r="C41" s="4" t="s">
        <v>633</v>
      </c>
      <c r="D41" s="4" t="s">
        <v>629</v>
      </c>
      <c r="E41" s="4" t="s">
        <v>634</v>
      </c>
      <c r="F41" s="4">
        <v>30</v>
      </c>
      <c r="G41" s="4" t="str">
        <f t="shared" si="0"/>
        <v>adult</v>
      </c>
      <c r="H41" s="4" t="s">
        <v>630</v>
      </c>
      <c r="I41" s="4">
        <v>44651</v>
      </c>
      <c r="J41" s="4">
        <v>1.56</v>
      </c>
      <c r="K41" s="4">
        <v>86.2</v>
      </c>
      <c r="L41" s="4" t="s">
        <v>59</v>
      </c>
      <c r="M41" s="4">
        <v>-47</v>
      </c>
      <c r="N41" s="4">
        <v>122</v>
      </c>
      <c r="O41" s="4">
        <v>202</v>
      </c>
      <c r="P41" s="4" t="s">
        <v>631</v>
      </c>
      <c r="Q41" s="4">
        <v>1</v>
      </c>
    </row>
    <row r="42" spans="1:17" x14ac:dyDescent="0.3">
      <c r="A42" s="4">
        <v>469626</v>
      </c>
      <c r="B42" s="4" t="s">
        <v>76</v>
      </c>
      <c r="C42" s="4" t="s">
        <v>77</v>
      </c>
      <c r="D42" s="4" t="s">
        <v>13</v>
      </c>
      <c r="E42" s="4" t="s">
        <v>19</v>
      </c>
      <c r="F42" s="4">
        <v>26</v>
      </c>
      <c r="G42" s="4" t="str">
        <f t="shared" si="0"/>
        <v>adult</v>
      </c>
      <c r="H42" s="4" t="s">
        <v>74</v>
      </c>
      <c r="I42" s="4">
        <v>44804</v>
      </c>
      <c r="J42" s="4">
        <v>1.77</v>
      </c>
      <c r="K42" s="4">
        <v>87.5</v>
      </c>
      <c r="L42" s="4" t="s">
        <v>59</v>
      </c>
      <c r="M42" s="4">
        <v>329</v>
      </c>
      <c r="N42" s="4">
        <v>15</v>
      </c>
      <c r="O42" s="4">
        <v>312</v>
      </c>
      <c r="P42" s="4" t="s">
        <v>75</v>
      </c>
      <c r="Q42" s="4">
        <v>1</v>
      </c>
    </row>
    <row r="43" spans="1:17" x14ac:dyDescent="0.3">
      <c r="A43" s="4">
        <v>50856</v>
      </c>
      <c r="B43" s="4" t="s">
        <v>888</v>
      </c>
      <c r="C43" s="4" t="s">
        <v>889</v>
      </c>
      <c r="D43" s="4" t="s">
        <v>13</v>
      </c>
      <c r="E43" s="4" t="s">
        <v>19</v>
      </c>
      <c r="F43" s="4">
        <v>50</v>
      </c>
      <c r="G43" s="4" t="str">
        <f t="shared" si="0"/>
        <v>adult</v>
      </c>
      <c r="H43" s="4" t="s">
        <v>886</v>
      </c>
      <c r="I43" s="4">
        <v>44878</v>
      </c>
      <c r="J43" s="4">
        <v>1.68</v>
      </c>
      <c r="K43" s="4">
        <v>72.099999999999994</v>
      </c>
      <c r="L43" s="4" t="s">
        <v>15</v>
      </c>
      <c r="M43" s="4">
        <v>320</v>
      </c>
      <c r="N43" s="4">
        <v>8</v>
      </c>
      <c r="O43" s="4">
        <v>507</v>
      </c>
      <c r="P43" s="4" t="s">
        <v>887</v>
      </c>
      <c r="Q43" s="4">
        <v>1</v>
      </c>
    </row>
    <row r="44" spans="1:17" x14ac:dyDescent="0.3">
      <c r="A44" s="4">
        <v>86878</v>
      </c>
      <c r="B44" s="4" t="s">
        <v>824</v>
      </c>
      <c r="C44" s="4" t="s">
        <v>825</v>
      </c>
      <c r="D44" s="4" t="s">
        <v>13</v>
      </c>
      <c r="E44" s="4" t="s">
        <v>19</v>
      </c>
      <c r="F44" s="4">
        <v>41</v>
      </c>
      <c r="G44" s="4" t="str">
        <f t="shared" si="0"/>
        <v>adult</v>
      </c>
      <c r="H44" s="4" t="s">
        <v>822</v>
      </c>
      <c r="I44" s="4">
        <v>44848</v>
      </c>
      <c r="J44" s="4">
        <v>1.8</v>
      </c>
      <c r="K44" s="4">
        <v>72.599999999999994</v>
      </c>
      <c r="L44" s="4" t="s">
        <v>15</v>
      </c>
      <c r="M44" s="4">
        <v>370</v>
      </c>
      <c r="N44" s="4">
        <v>10</v>
      </c>
      <c r="O44" s="4">
        <v>408</v>
      </c>
      <c r="P44" s="4" t="s">
        <v>823</v>
      </c>
      <c r="Q44" s="4">
        <v>1</v>
      </c>
    </row>
    <row r="45" spans="1:17" x14ac:dyDescent="0.3">
      <c r="A45" s="4">
        <v>275390</v>
      </c>
      <c r="B45" s="4" t="s">
        <v>351</v>
      </c>
      <c r="C45" s="4" t="s">
        <v>352</v>
      </c>
      <c r="D45" s="4" t="s">
        <v>348</v>
      </c>
      <c r="E45" s="4" t="s">
        <v>353</v>
      </c>
      <c r="F45" s="4">
        <v>31</v>
      </c>
      <c r="G45" s="4" t="str">
        <f t="shared" si="0"/>
        <v>adult</v>
      </c>
      <c r="H45" s="4" t="s">
        <v>349</v>
      </c>
      <c r="I45" s="4">
        <v>44673</v>
      </c>
      <c r="J45" s="4">
        <v>1.56</v>
      </c>
      <c r="K45" s="4">
        <v>89.8</v>
      </c>
      <c r="L45" s="4" t="s">
        <v>59</v>
      </c>
      <c r="M45" s="4">
        <v>18</v>
      </c>
      <c r="N45" s="4">
        <v>70</v>
      </c>
      <c r="O45" s="4">
        <v>147</v>
      </c>
      <c r="P45" s="4" t="s">
        <v>350</v>
      </c>
      <c r="Q45" s="4">
        <v>1</v>
      </c>
    </row>
    <row r="46" spans="1:17" x14ac:dyDescent="0.3">
      <c r="A46" s="4">
        <v>112592</v>
      </c>
      <c r="B46" s="4" t="s">
        <v>842</v>
      </c>
      <c r="C46" s="4" t="s">
        <v>843</v>
      </c>
      <c r="D46" s="4" t="s">
        <v>13</v>
      </c>
      <c r="E46" s="4" t="s">
        <v>19</v>
      </c>
      <c r="F46" s="4">
        <v>47</v>
      </c>
      <c r="G46" s="4" t="str">
        <f t="shared" si="0"/>
        <v>adult</v>
      </c>
      <c r="H46" s="4" t="s">
        <v>840</v>
      </c>
      <c r="I46" s="4">
        <v>44885</v>
      </c>
      <c r="J46" s="4">
        <v>1.55</v>
      </c>
      <c r="K46" s="4">
        <v>83.9</v>
      </c>
      <c r="L46" s="4" t="s">
        <v>15</v>
      </c>
      <c r="M46" s="4">
        <v>410</v>
      </c>
      <c r="N46" s="4">
        <v>5</v>
      </c>
      <c r="O46" s="4">
        <v>457</v>
      </c>
      <c r="P46" s="4" t="s">
        <v>841</v>
      </c>
      <c r="Q46" s="4">
        <v>1</v>
      </c>
    </row>
    <row r="47" spans="1:17" x14ac:dyDescent="0.3">
      <c r="A47" s="4">
        <v>153625</v>
      </c>
      <c r="B47" s="4" t="s">
        <v>61</v>
      </c>
      <c r="C47" s="4" t="s">
        <v>62</v>
      </c>
      <c r="D47" s="4" t="s">
        <v>13</v>
      </c>
      <c r="E47" s="4" t="s">
        <v>19</v>
      </c>
      <c r="F47" s="4">
        <v>28</v>
      </c>
      <c r="G47" s="4" t="str">
        <f t="shared" si="0"/>
        <v>adult</v>
      </c>
      <c r="H47" s="4" t="s">
        <v>58</v>
      </c>
      <c r="I47" s="4">
        <v>44588</v>
      </c>
      <c r="J47" s="4">
        <v>1.55</v>
      </c>
      <c r="K47" s="4">
        <v>91.6</v>
      </c>
      <c r="L47" s="4" t="s">
        <v>59</v>
      </c>
      <c r="M47" s="4">
        <v>368</v>
      </c>
      <c r="N47" s="4">
        <v>11</v>
      </c>
      <c r="O47" s="4">
        <v>102</v>
      </c>
      <c r="P47" s="4" t="s">
        <v>60</v>
      </c>
      <c r="Q47" s="4">
        <v>1</v>
      </c>
    </row>
    <row r="48" spans="1:17" x14ac:dyDescent="0.3">
      <c r="A48" s="4">
        <v>111592</v>
      </c>
      <c r="B48" s="4" t="s">
        <v>115</v>
      </c>
      <c r="C48" s="4" t="s">
        <v>116</v>
      </c>
      <c r="D48" s="4" t="s">
        <v>13</v>
      </c>
      <c r="E48" s="4" t="s">
        <v>19</v>
      </c>
      <c r="F48" s="4">
        <v>26</v>
      </c>
      <c r="G48" s="4" t="str">
        <f t="shared" si="0"/>
        <v>adult</v>
      </c>
      <c r="H48" s="4" t="s">
        <v>113</v>
      </c>
      <c r="I48" s="4">
        <v>44977</v>
      </c>
      <c r="J48" s="4">
        <v>1.55</v>
      </c>
      <c r="K48" s="4">
        <v>83.9</v>
      </c>
      <c r="L48" s="4" t="s">
        <v>59</v>
      </c>
      <c r="M48" s="4">
        <v>244</v>
      </c>
      <c r="N48" s="4">
        <v>22</v>
      </c>
      <c r="O48" s="4">
        <v>316</v>
      </c>
      <c r="P48" s="4" t="s">
        <v>114</v>
      </c>
      <c r="Q48" s="4">
        <v>1</v>
      </c>
    </row>
    <row r="49" spans="1:17" x14ac:dyDescent="0.3">
      <c r="A49" s="4">
        <v>160128</v>
      </c>
      <c r="B49" s="4" t="s">
        <v>115</v>
      </c>
      <c r="C49" s="4" t="s">
        <v>313</v>
      </c>
      <c r="D49" s="4" t="s">
        <v>311</v>
      </c>
      <c r="E49" s="4" t="s">
        <v>314</v>
      </c>
      <c r="F49" s="4">
        <v>25</v>
      </c>
      <c r="G49" s="4" t="str">
        <f t="shared" si="0"/>
        <v>adult</v>
      </c>
      <c r="H49" s="4" t="s">
        <v>181</v>
      </c>
      <c r="I49" s="4">
        <v>44591</v>
      </c>
      <c r="J49" s="4">
        <v>1.83</v>
      </c>
      <c r="K49" s="4">
        <v>95.3</v>
      </c>
      <c r="L49" s="4" t="s">
        <v>59</v>
      </c>
      <c r="M49" s="4">
        <v>31</v>
      </c>
      <c r="N49" s="4">
        <v>63</v>
      </c>
      <c r="O49" s="4">
        <v>156</v>
      </c>
      <c r="P49" s="4" t="s">
        <v>312</v>
      </c>
      <c r="Q49" s="4">
        <v>1</v>
      </c>
    </row>
    <row r="50" spans="1:17" x14ac:dyDescent="0.3">
      <c r="A50" s="4">
        <v>283002</v>
      </c>
      <c r="B50" s="4" t="s">
        <v>935</v>
      </c>
      <c r="C50" s="4" t="s">
        <v>936</v>
      </c>
      <c r="D50" s="4" t="s">
        <v>78</v>
      </c>
      <c r="E50" s="4" t="s">
        <v>83</v>
      </c>
      <c r="F50" s="4">
        <v>60</v>
      </c>
      <c r="G50" s="4" t="str">
        <f t="shared" si="0"/>
        <v>adult</v>
      </c>
      <c r="H50" s="4" t="s">
        <v>933</v>
      </c>
      <c r="I50" s="4">
        <v>44837</v>
      </c>
      <c r="J50" s="4">
        <v>1.55</v>
      </c>
      <c r="K50" s="4">
        <v>90.7</v>
      </c>
      <c r="L50" s="4" t="s">
        <v>15</v>
      </c>
      <c r="M50" s="4">
        <v>480</v>
      </c>
      <c r="N50" s="4">
        <v>3</v>
      </c>
      <c r="O50" s="4">
        <v>602</v>
      </c>
      <c r="P50" s="4" t="s">
        <v>934</v>
      </c>
      <c r="Q50" s="4">
        <v>1</v>
      </c>
    </row>
    <row r="51" spans="1:17" x14ac:dyDescent="0.3">
      <c r="A51" s="4">
        <v>155471</v>
      </c>
      <c r="B51" s="4" t="s">
        <v>263</v>
      </c>
      <c r="C51" s="4" t="s">
        <v>264</v>
      </c>
      <c r="D51" s="4" t="s">
        <v>260</v>
      </c>
      <c r="E51" s="4" t="s">
        <v>265</v>
      </c>
      <c r="F51" s="4">
        <v>30</v>
      </c>
      <c r="G51" s="4" t="str">
        <f t="shared" si="0"/>
        <v>adult</v>
      </c>
      <c r="H51" s="4" t="s">
        <v>261</v>
      </c>
      <c r="I51" s="4">
        <v>44758</v>
      </c>
      <c r="J51" s="4">
        <v>1.74</v>
      </c>
      <c r="K51" s="4">
        <v>81.599999999999994</v>
      </c>
      <c r="L51" s="4" t="s">
        <v>59</v>
      </c>
      <c r="M51" s="4">
        <v>47</v>
      </c>
      <c r="N51" s="4">
        <v>54</v>
      </c>
      <c r="O51" s="4">
        <v>144</v>
      </c>
      <c r="P51" s="4" t="s">
        <v>262</v>
      </c>
      <c r="Q51" s="4">
        <v>1</v>
      </c>
    </row>
    <row r="52" spans="1:17" x14ac:dyDescent="0.3">
      <c r="A52" s="4">
        <v>644351</v>
      </c>
      <c r="B52" s="4" t="s">
        <v>641</v>
      </c>
      <c r="C52" s="4" t="s">
        <v>642</v>
      </c>
      <c r="D52" s="4" t="s">
        <v>639</v>
      </c>
      <c r="E52" s="4" t="s">
        <v>643</v>
      </c>
      <c r="F52" s="4">
        <v>32</v>
      </c>
      <c r="G52" s="4" t="str">
        <f t="shared" si="0"/>
        <v>adult</v>
      </c>
      <c r="H52" s="4" t="s">
        <v>965</v>
      </c>
      <c r="I52" s="4" t="s">
        <v>965</v>
      </c>
      <c r="J52" s="4">
        <v>1.74</v>
      </c>
      <c r="K52" s="4">
        <v>79.8</v>
      </c>
      <c r="L52" s="4" t="s">
        <v>59</v>
      </c>
      <c r="M52" s="4">
        <v>-49</v>
      </c>
      <c r="N52" s="4">
        <v>124</v>
      </c>
      <c r="O52" s="4">
        <v>212</v>
      </c>
      <c r="P52" s="4" t="s">
        <v>640</v>
      </c>
      <c r="Q52" s="4">
        <v>1</v>
      </c>
    </row>
    <row r="53" spans="1:17" x14ac:dyDescent="0.3">
      <c r="A53" s="4">
        <v>458360</v>
      </c>
      <c r="B53" s="4" t="s">
        <v>517</v>
      </c>
      <c r="C53" s="4" t="s">
        <v>518</v>
      </c>
      <c r="D53" s="4" t="s">
        <v>514</v>
      </c>
      <c r="E53" s="4" t="s">
        <v>519</v>
      </c>
      <c r="F53" s="4">
        <v>24</v>
      </c>
      <c r="G53" s="4" t="str">
        <f t="shared" si="0"/>
        <v>adult</v>
      </c>
      <c r="H53" s="4" t="s">
        <v>515</v>
      </c>
      <c r="I53" s="4">
        <v>44666</v>
      </c>
      <c r="J53" s="4">
        <v>1.55</v>
      </c>
      <c r="K53" s="4">
        <v>89.8</v>
      </c>
      <c r="L53" s="4" t="s">
        <v>59</v>
      </c>
      <c r="M53" s="4">
        <v>-26</v>
      </c>
      <c r="N53" s="4">
        <v>101</v>
      </c>
      <c r="O53" s="4">
        <v>163</v>
      </c>
      <c r="P53" s="4" t="s">
        <v>516</v>
      </c>
      <c r="Q53" s="4">
        <v>1</v>
      </c>
    </row>
    <row r="54" spans="1:17" x14ac:dyDescent="0.3">
      <c r="A54" s="4">
        <v>916290</v>
      </c>
      <c r="B54" s="4" t="s">
        <v>517</v>
      </c>
      <c r="C54" s="4" t="s">
        <v>569</v>
      </c>
      <c r="D54" s="4" t="s">
        <v>567</v>
      </c>
      <c r="E54" s="4" t="s">
        <v>570</v>
      </c>
      <c r="F54" s="4">
        <v>28</v>
      </c>
      <c r="G54" s="4" t="str">
        <f t="shared" si="0"/>
        <v>adult</v>
      </c>
      <c r="H54" s="4" t="s">
        <v>965</v>
      </c>
      <c r="I54" s="4" t="s">
        <v>965</v>
      </c>
      <c r="J54" s="4">
        <v>1.86</v>
      </c>
      <c r="K54" s="4">
        <v>88.5</v>
      </c>
      <c r="L54" s="4" t="s">
        <v>59</v>
      </c>
      <c r="M54" s="4">
        <v>-36</v>
      </c>
      <c r="N54" s="4">
        <v>111</v>
      </c>
      <c r="O54" s="4">
        <v>219</v>
      </c>
      <c r="P54" s="4" t="s">
        <v>568</v>
      </c>
      <c r="Q54" s="4">
        <v>1</v>
      </c>
    </row>
    <row r="55" spans="1:17" x14ac:dyDescent="0.3">
      <c r="A55" s="4">
        <v>8743</v>
      </c>
      <c r="B55" s="4" t="s">
        <v>517</v>
      </c>
      <c r="C55" s="4" t="s">
        <v>809</v>
      </c>
      <c r="D55" s="4" t="s">
        <v>143</v>
      </c>
      <c r="E55" s="4" t="s">
        <v>147</v>
      </c>
      <c r="F55" s="4">
        <v>41</v>
      </c>
      <c r="G55" s="4" t="str">
        <f t="shared" si="0"/>
        <v>adult</v>
      </c>
      <c r="H55" s="4" t="s">
        <v>807</v>
      </c>
      <c r="I55" s="4">
        <v>44929</v>
      </c>
      <c r="J55" s="4">
        <v>1.55</v>
      </c>
      <c r="K55" s="4">
        <v>91.2</v>
      </c>
      <c r="L55" s="4" t="s">
        <v>15</v>
      </c>
      <c r="M55" s="4">
        <v>420</v>
      </c>
      <c r="N55" s="4">
        <v>6</v>
      </c>
      <c r="O55" s="4">
        <v>404</v>
      </c>
      <c r="P55" s="4" t="s">
        <v>808</v>
      </c>
      <c r="Q55" s="4">
        <v>1</v>
      </c>
    </row>
    <row r="56" spans="1:17" x14ac:dyDescent="0.3">
      <c r="A56" s="4">
        <v>57724</v>
      </c>
      <c r="B56" s="4" t="s">
        <v>517</v>
      </c>
      <c r="C56" s="4" t="s">
        <v>947</v>
      </c>
      <c r="D56" s="4" t="s">
        <v>13</v>
      </c>
      <c r="E56" s="4" t="s">
        <v>19</v>
      </c>
      <c r="F56" s="4">
        <v>63</v>
      </c>
      <c r="G56" s="4" t="str">
        <f t="shared" si="0"/>
        <v>adult</v>
      </c>
      <c r="H56" s="4" t="s">
        <v>945</v>
      </c>
      <c r="I56" s="4">
        <v>44939</v>
      </c>
      <c r="J56" s="4">
        <v>1.77</v>
      </c>
      <c r="K56" s="4">
        <v>73.900000000000006</v>
      </c>
      <c r="L56" s="4" t="s">
        <v>15</v>
      </c>
      <c r="M56" s="4">
        <v>400</v>
      </c>
      <c r="N56" s="4">
        <v>6</v>
      </c>
      <c r="O56" s="4">
        <v>607</v>
      </c>
      <c r="P56" s="4" t="s">
        <v>946</v>
      </c>
      <c r="Q56" s="4">
        <v>1</v>
      </c>
    </row>
    <row r="57" spans="1:17" x14ac:dyDescent="0.3">
      <c r="A57" s="4">
        <v>256405</v>
      </c>
      <c r="B57" s="4" t="s">
        <v>517</v>
      </c>
      <c r="C57" s="4" t="s">
        <v>955</v>
      </c>
      <c r="D57" s="4" t="s">
        <v>13</v>
      </c>
      <c r="E57" s="4" t="s">
        <v>19</v>
      </c>
      <c r="F57" s="4">
        <v>61</v>
      </c>
      <c r="G57" s="4" t="str">
        <f t="shared" si="0"/>
        <v>adult</v>
      </c>
      <c r="H57" s="4" t="s">
        <v>953</v>
      </c>
      <c r="I57" s="4">
        <v>44949</v>
      </c>
      <c r="J57" s="4">
        <v>1.55</v>
      </c>
      <c r="K57" s="4">
        <v>72.599999999999994</v>
      </c>
      <c r="L57" s="4" t="s">
        <v>15</v>
      </c>
      <c r="M57" s="4">
        <v>290</v>
      </c>
      <c r="N57" s="4">
        <v>9</v>
      </c>
      <c r="O57" s="4">
        <v>610</v>
      </c>
      <c r="P57" s="4" t="s">
        <v>954</v>
      </c>
      <c r="Q57" s="4">
        <v>1</v>
      </c>
    </row>
    <row r="58" spans="1:17" x14ac:dyDescent="0.3">
      <c r="A58" s="4">
        <v>1433136</v>
      </c>
      <c r="B58" s="4" t="s">
        <v>784</v>
      </c>
      <c r="C58" s="4" t="s">
        <v>785</v>
      </c>
      <c r="D58" s="4" t="s">
        <v>84</v>
      </c>
      <c r="E58" s="4" t="s">
        <v>88</v>
      </c>
      <c r="F58" s="4">
        <v>37</v>
      </c>
      <c r="G58" s="4" t="str">
        <f t="shared" si="0"/>
        <v>adult</v>
      </c>
      <c r="H58" s="4" t="s">
        <v>969</v>
      </c>
      <c r="I58" s="4">
        <v>44705</v>
      </c>
      <c r="J58" s="4">
        <v>1.56</v>
      </c>
      <c r="K58" s="4">
        <v>91.2</v>
      </c>
      <c r="L58" s="4" t="s">
        <v>15</v>
      </c>
      <c r="M58" s="4">
        <v>280</v>
      </c>
      <c r="N58" s="4">
        <v>9</v>
      </c>
      <c r="O58" s="4">
        <v>352</v>
      </c>
      <c r="P58" s="4" t="s">
        <v>225</v>
      </c>
      <c r="Q58" s="4">
        <v>1</v>
      </c>
    </row>
    <row r="59" spans="1:17" x14ac:dyDescent="0.3">
      <c r="A59" s="4">
        <v>8690</v>
      </c>
      <c r="B59" s="4" t="s">
        <v>174</v>
      </c>
      <c r="C59" s="4" t="s">
        <v>175</v>
      </c>
      <c r="D59" s="4" t="s">
        <v>32</v>
      </c>
      <c r="E59" s="4" t="s">
        <v>37</v>
      </c>
      <c r="F59" s="4">
        <v>28</v>
      </c>
      <c r="G59" s="4" t="str">
        <f t="shared" si="0"/>
        <v>adult</v>
      </c>
      <c r="H59" s="4" t="s">
        <v>172</v>
      </c>
      <c r="I59" s="4">
        <v>44741</v>
      </c>
      <c r="J59" s="4">
        <v>1.77</v>
      </c>
      <c r="K59" s="4">
        <v>87.1</v>
      </c>
      <c r="L59" s="4" t="s">
        <v>59</v>
      </c>
      <c r="M59" s="4">
        <v>170</v>
      </c>
      <c r="N59" s="4">
        <v>36</v>
      </c>
      <c r="O59" s="4">
        <v>118</v>
      </c>
      <c r="P59" s="4" t="s">
        <v>173</v>
      </c>
      <c r="Q59" s="4">
        <v>1</v>
      </c>
    </row>
    <row r="60" spans="1:17" x14ac:dyDescent="0.3">
      <c r="A60" s="4">
        <v>683220</v>
      </c>
      <c r="B60" s="4" t="s">
        <v>395</v>
      </c>
      <c r="C60" s="4" t="s">
        <v>396</v>
      </c>
      <c r="D60" s="4" t="s">
        <v>392</v>
      </c>
      <c r="E60" s="4" t="s">
        <v>397</v>
      </c>
      <c r="F60" s="4">
        <v>28</v>
      </c>
      <c r="G60" s="4" t="str">
        <f t="shared" si="0"/>
        <v>adult</v>
      </c>
      <c r="H60" s="4" t="s">
        <v>393</v>
      </c>
      <c r="I60" s="4">
        <v>44627</v>
      </c>
      <c r="J60" s="4">
        <v>1.83</v>
      </c>
      <c r="K60" s="4">
        <v>88</v>
      </c>
      <c r="L60" s="4" t="s">
        <v>59</v>
      </c>
      <c r="M60" s="4">
        <v>-3</v>
      </c>
      <c r="N60" s="4">
        <v>78</v>
      </c>
      <c r="O60" s="4">
        <v>177</v>
      </c>
      <c r="P60" s="4" t="s">
        <v>394</v>
      </c>
      <c r="Q60" s="4">
        <v>1</v>
      </c>
    </row>
    <row r="61" spans="1:17" x14ac:dyDescent="0.3">
      <c r="A61" s="4">
        <v>595818</v>
      </c>
      <c r="B61" s="4" t="s">
        <v>490</v>
      </c>
      <c r="C61" s="4" t="s">
        <v>491</v>
      </c>
      <c r="D61" s="4" t="s">
        <v>487</v>
      </c>
      <c r="E61" s="4" t="s">
        <v>492</v>
      </c>
      <c r="F61" s="4">
        <v>23</v>
      </c>
      <c r="G61" s="4" t="str">
        <f t="shared" si="0"/>
        <v>adult</v>
      </c>
      <c r="H61" s="4" t="s">
        <v>488</v>
      </c>
      <c r="I61" s="4">
        <v>44709</v>
      </c>
      <c r="J61" s="4">
        <v>1.89</v>
      </c>
      <c r="K61" s="4">
        <v>90.7</v>
      </c>
      <c r="L61" s="4" t="s">
        <v>59</v>
      </c>
      <c r="M61" s="4">
        <v>-21</v>
      </c>
      <c r="N61" s="4">
        <v>96</v>
      </c>
      <c r="O61" s="4">
        <v>213</v>
      </c>
      <c r="P61" s="4" t="s">
        <v>489</v>
      </c>
      <c r="Q61" s="4">
        <v>1</v>
      </c>
    </row>
    <row r="62" spans="1:17" x14ac:dyDescent="0.3">
      <c r="A62" s="4">
        <v>921544</v>
      </c>
      <c r="B62" s="4" t="s">
        <v>603</v>
      </c>
      <c r="C62" s="4" t="s">
        <v>604</v>
      </c>
      <c r="D62" s="4" t="s">
        <v>600</v>
      </c>
      <c r="E62" s="4" t="s">
        <v>605</v>
      </c>
      <c r="F62" s="4">
        <v>28</v>
      </c>
      <c r="G62" s="4" t="str">
        <f t="shared" si="0"/>
        <v>adult</v>
      </c>
      <c r="H62" s="4" t="s">
        <v>601</v>
      </c>
      <c r="I62" s="4">
        <v>44726</v>
      </c>
      <c r="J62" s="4">
        <v>1.8</v>
      </c>
      <c r="K62" s="4">
        <v>83.9</v>
      </c>
      <c r="L62" s="4" t="s">
        <v>59</v>
      </c>
      <c r="M62" s="4">
        <v>-42</v>
      </c>
      <c r="N62" s="4">
        <v>117</v>
      </c>
      <c r="O62" s="4">
        <v>230</v>
      </c>
      <c r="P62" s="4" t="s">
        <v>602</v>
      </c>
      <c r="Q62" s="4">
        <v>1</v>
      </c>
    </row>
    <row r="63" spans="1:17" x14ac:dyDescent="0.3">
      <c r="A63" s="4">
        <v>25613</v>
      </c>
      <c r="B63" s="4" t="s">
        <v>533</v>
      </c>
      <c r="C63" s="4" t="s">
        <v>534</v>
      </c>
      <c r="D63" s="4" t="s">
        <v>531</v>
      </c>
      <c r="E63" s="4" t="s">
        <v>535</v>
      </c>
      <c r="F63" s="4">
        <v>33</v>
      </c>
      <c r="G63" s="4" t="str">
        <f t="shared" si="0"/>
        <v>adult</v>
      </c>
      <c r="H63" s="4" t="s">
        <v>965</v>
      </c>
      <c r="I63" s="4" t="s">
        <v>965</v>
      </c>
      <c r="J63" s="4">
        <v>1.74</v>
      </c>
      <c r="K63" s="4">
        <v>69.900000000000006</v>
      </c>
      <c r="L63" s="4" t="s">
        <v>59</v>
      </c>
      <c r="M63" s="4">
        <v>-29</v>
      </c>
      <c r="N63" s="4">
        <v>104</v>
      </c>
      <c r="O63" s="4">
        <v>206</v>
      </c>
      <c r="P63" s="4" t="s">
        <v>532</v>
      </c>
      <c r="Q63" s="4">
        <v>1</v>
      </c>
    </row>
    <row r="64" spans="1:17" x14ac:dyDescent="0.3">
      <c r="A64" s="4">
        <v>86089</v>
      </c>
      <c r="B64" s="4" t="s">
        <v>98</v>
      </c>
      <c r="C64" s="4" t="s">
        <v>99</v>
      </c>
      <c r="D64" s="4" t="s">
        <v>95</v>
      </c>
      <c r="E64" s="4" t="s">
        <v>100</v>
      </c>
      <c r="F64" s="4">
        <v>25</v>
      </c>
      <c r="G64" s="4" t="str">
        <f t="shared" si="0"/>
        <v>adult</v>
      </c>
      <c r="H64" s="4" t="s">
        <v>96</v>
      </c>
      <c r="I64" s="4">
        <v>44663</v>
      </c>
      <c r="J64" s="4">
        <v>1.86</v>
      </c>
      <c r="K64" s="4">
        <v>89.8</v>
      </c>
      <c r="L64" s="4" t="s">
        <v>59</v>
      </c>
      <c r="M64" s="4">
        <v>303</v>
      </c>
      <c r="N64" s="4">
        <v>19</v>
      </c>
      <c r="O64" s="4">
        <v>132</v>
      </c>
      <c r="P64" s="4" t="s">
        <v>97</v>
      </c>
      <c r="Q64" s="4">
        <v>1</v>
      </c>
    </row>
    <row r="65" spans="1:17" x14ac:dyDescent="0.3">
      <c r="A65" s="4">
        <v>464588</v>
      </c>
      <c r="B65" s="4" t="s">
        <v>734</v>
      </c>
      <c r="C65" s="4" t="s">
        <v>735</v>
      </c>
      <c r="D65" s="4" t="s">
        <v>731</v>
      </c>
      <c r="E65" s="4" t="s">
        <v>736</v>
      </c>
      <c r="F65" s="4">
        <v>32</v>
      </c>
      <c r="G65" s="4" t="str">
        <f t="shared" si="0"/>
        <v>adult</v>
      </c>
      <c r="H65" s="4" t="s">
        <v>732</v>
      </c>
      <c r="I65" s="4">
        <v>44721</v>
      </c>
      <c r="J65" s="4">
        <v>1.74</v>
      </c>
      <c r="K65" s="4">
        <v>86.2</v>
      </c>
      <c r="L65" s="4" t="s">
        <v>59</v>
      </c>
      <c r="M65" s="4">
        <v>-63</v>
      </c>
      <c r="N65" s="4">
        <v>138</v>
      </c>
      <c r="O65" s="4">
        <v>190</v>
      </c>
      <c r="P65" s="4" t="s">
        <v>733</v>
      </c>
      <c r="Q65" s="4">
        <v>1</v>
      </c>
    </row>
    <row r="66" spans="1:17" x14ac:dyDescent="0.3">
      <c r="A66" s="4">
        <v>28040</v>
      </c>
      <c r="B66" s="4" t="s">
        <v>183</v>
      </c>
      <c r="C66" s="4" t="s">
        <v>184</v>
      </c>
      <c r="D66" s="4" t="s">
        <v>13</v>
      </c>
      <c r="E66" s="4" t="s">
        <v>19</v>
      </c>
      <c r="F66" s="4">
        <v>31</v>
      </c>
      <c r="G66" s="4" t="str">
        <f t="shared" si="0"/>
        <v>adult</v>
      </c>
      <c r="H66" s="4" t="s">
        <v>181</v>
      </c>
      <c r="I66" s="4">
        <v>44591</v>
      </c>
      <c r="J66" s="4">
        <v>1.56</v>
      </c>
      <c r="K66" s="4">
        <v>90.7</v>
      </c>
      <c r="L66" s="4" t="s">
        <v>59</v>
      </c>
      <c r="M66" s="4">
        <v>160</v>
      </c>
      <c r="N66" s="4">
        <v>38</v>
      </c>
      <c r="O66" s="4">
        <v>114</v>
      </c>
      <c r="P66" s="4" t="s">
        <v>182</v>
      </c>
      <c r="Q66" s="4">
        <v>1</v>
      </c>
    </row>
    <row r="67" spans="1:17" x14ac:dyDescent="0.3">
      <c r="A67" s="4">
        <v>119313</v>
      </c>
      <c r="B67" s="4" t="s">
        <v>292</v>
      </c>
      <c r="C67" s="4" t="s">
        <v>293</v>
      </c>
      <c r="D67" s="4" t="s">
        <v>289</v>
      </c>
      <c r="E67" s="4" t="s">
        <v>294</v>
      </c>
      <c r="F67" s="4">
        <v>29</v>
      </c>
      <c r="G67" s="4" t="str">
        <f t="shared" ref="G67:G130" si="1">IF(F67&lt;18,"teen","adult")</f>
        <v>adult</v>
      </c>
      <c r="H67" s="4" t="s">
        <v>290</v>
      </c>
      <c r="I67" s="4">
        <v>44659</v>
      </c>
      <c r="J67" s="4">
        <v>1.55</v>
      </c>
      <c r="K67" s="4">
        <v>83.9</v>
      </c>
      <c r="L67" s="4" t="s">
        <v>59</v>
      </c>
      <c r="M67" s="4">
        <v>35</v>
      </c>
      <c r="N67" s="4">
        <v>59</v>
      </c>
      <c r="O67" s="4">
        <v>149</v>
      </c>
      <c r="P67" s="4" t="s">
        <v>291</v>
      </c>
      <c r="Q67" s="4">
        <v>1</v>
      </c>
    </row>
    <row r="68" spans="1:17" x14ac:dyDescent="0.3">
      <c r="A68" s="4">
        <v>256607</v>
      </c>
      <c r="B68" s="4" t="s">
        <v>418</v>
      </c>
      <c r="C68" s="4" t="s">
        <v>419</v>
      </c>
      <c r="D68" s="4" t="s">
        <v>415</v>
      </c>
      <c r="E68" s="4" t="s">
        <v>420</v>
      </c>
      <c r="F68" s="4">
        <v>34</v>
      </c>
      <c r="G68" s="4" t="str">
        <f t="shared" si="1"/>
        <v>adult</v>
      </c>
      <c r="H68" s="4" t="s">
        <v>416</v>
      </c>
      <c r="I68" s="4">
        <v>44614</v>
      </c>
      <c r="J68" s="4">
        <v>1.55</v>
      </c>
      <c r="K68" s="4">
        <v>92.5</v>
      </c>
      <c r="L68" s="4" t="s">
        <v>59</v>
      </c>
      <c r="M68" s="4">
        <v>-7</v>
      </c>
      <c r="N68" s="4">
        <v>82</v>
      </c>
      <c r="O68" s="4">
        <v>187</v>
      </c>
      <c r="P68" s="4" t="s">
        <v>417</v>
      </c>
      <c r="Q68" s="4">
        <v>1</v>
      </c>
    </row>
    <row r="69" spans="1:17" x14ac:dyDescent="0.3">
      <c r="A69" s="4">
        <v>345700</v>
      </c>
      <c r="B69" s="4" t="s">
        <v>443</v>
      </c>
      <c r="C69" s="4" t="s">
        <v>444</v>
      </c>
      <c r="D69" s="4" t="s">
        <v>441</v>
      </c>
      <c r="E69" s="4" t="s">
        <v>445</v>
      </c>
      <c r="F69" s="4">
        <v>31</v>
      </c>
      <c r="G69" s="4" t="str">
        <f t="shared" si="1"/>
        <v>adult</v>
      </c>
      <c r="H69" s="4" t="s">
        <v>965</v>
      </c>
      <c r="I69" s="4" t="s">
        <v>965</v>
      </c>
      <c r="J69" s="4">
        <v>1.71</v>
      </c>
      <c r="K69" s="4">
        <v>77.099999999999994</v>
      </c>
      <c r="L69" s="4" t="s">
        <v>59</v>
      </c>
      <c r="M69" s="4">
        <v>-12</v>
      </c>
      <c r="N69" s="4">
        <v>87</v>
      </c>
      <c r="O69" s="4">
        <v>189</v>
      </c>
      <c r="P69" s="4" t="s">
        <v>442</v>
      </c>
      <c r="Q69" s="4">
        <v>1</v>
      </c>
    </row>
    <row r="70" spans="1:17" x14ac:dyDescent="0.3">
      <c r="A70" s="4">
        <v>18543</v>
      </c>
      <c r="B70" s="4" t="s">
        <v>750</v>
      </c>
      <c r="C70" s="4" t="s">
        <v>751</v>
      </c>
      <c r="D70" s="4" t="s">
        <v>101</v>
      </c>
      <c r="E70" s="4" t="s">
        <v>106</v>
      </c>
      <c r="F70" s="4">
        <v>32</v>
      </c>
      <c r="G70" s="4" t="str">
        <f t="shared" si="1"/>
        <v>adult</v>
      </c>
      <c r="H70" s="4" t="s">
        <v>976</v>
      </c>
      <c r="I70" s="4">
        <v>44767</v>
      </c>
      <c r="J70" s="4">
        <v>1.8</v>
      </c>
      <c r="K70" s="4">
        <v>83.9</v>
      </c>
      <c r="L70" s="4" t="s">
        <v>59</v>
      </c>
      <c r="M70" s="4" t="s">
        <v>965</v>
      </c>
      <c r="N70" s="4" t="s">
        <v>977</v>
      </c>
      <c r="O70" s="4">
        <v>127</v>
      </c>
      <c r="P70" s="4" t="s">
        <v>749</v>
      </c>
      <c r="Q70" s="4">
        <v>1</v>
      </c>
    </row>
    <row r="71" spans="1:17" x14ac:dyDescent="0.3">
      <c r="A71" s="4">
        <v>511473</v>
      </c>
      <c r="B71" s="4" t="s">
        <v>230</v>
      </c>
      <c r="C71" s="4" t="s">
        <v>970</v>
      </c>
      <c r="D71" s="4" t="s">
        <v>228</v>
      </c>
      <c r="E71" s="4" t="s">
        <v>231</v>
      </c>
      <c r="F71" s="4">
        <v>28</v>
      </c>
      <c r="G71" s="4" t="str">
        <f t="shared" si="1"/>
        <v>adult</v>
      </c>
      <c r="H71" s="4" t="s">
        <v>965</v>
      </c>
      <c r="I71" s="4" t="s">
        <v>965</v>
      </c>
      <c r="J71" s="4">
        <v>1.77</v>
      </c>
      <c r="K71" s="4">
        <v>84.8</v>
      </c>
      <c r="L71" s="4" t="s">
        <v>59</v>
      </c>
      <c r="M71" s="4">
        <v>86</v>
      </c>
      <c r="N71" s="4">
        <v>48</v>
      </c>
      <c r="O71" s="4">
        <v>139</v>
      </c>
      <c r="P71" s="4" t="s">
        <v>229</v>
      </c>
      <c r="Q71" s="4">
        <v>1</v>
      </c>
    </row>
    <row r="72" spans="1:17" x14ac:dyDescent="0.3">
      <c r="A72" s="4">
        <v>329279</v>
      </c>
      <c r="B72" s="4" t="s">
        <v>160</v>
      </c>
      <c r="C72" s="4" t="s">
        <v>161</v>
      </c>
      <c r="D72" s="4" t="s">
        <v>13</v>
      </c>
      <c r="E72" s="4" t="s">
        <v>19</v>
      </c>
      <c r="F72" s="4">
        <v>20</v>
      </c>
      <c r="G72" s="4" t="str">
        <f t="shared" si="1"/>
        <v>adult</v>
      </c>
      <c r="H72" s="4" t="s">
        <v>158</v>
      </c>
      <c r="I72" s="4">
        <v>44606</v>
      </c>
      <c r="J72" s="4">
        <v>1.8</v>
      </c>
      <c r="K72" s="4">
        <v>83.9</v>
      </c>
      <c r="L72" s="4" t="s">
        <v>59</v>
      </c>
      <c r="M72" s="4">
        <v>194</v>
      </c>
      <c r="N72" s="4">
        <v>32</v>
      </c>
      <c r="O72" s="4">
        <v>103</v>
      </c>
      <c r="P72" s="4" t="s">
        <v>159</v>
      </c>
      <c r="Q72" s="4">
        <v>1</v>
      </c>
    </row>
    <row r="73" spans="1:17" x14ac:dyDescent="0.3">
      <c r="A73" s="4">
        <v>278581</v>
      </c>
      <c r="B73" s="4" t="s">
        <v>853</v>
      </c>
      <c r="C73" s="4" t="s">
        <v>854</v>
      </c>
      <c r="D73" s="4" t="s">
        <v>661</v>
      </c>
      <c r="E73" s="4" t="s">
        <v>666</v>
      </c>
      <c r="F73" s="4">
        <v>46</v>
      </c>
      <c r="G73" s="4" t="str">
        <f t="shared" si="1"/>
        <v>adult</v>
      </c>
      <c r="H73" s="4" t="s">
        <v>851</v>
      </c>
      <c r="I73" s="4">
        <v>44822</v>
      </c>
      <c r="J73" s="4">
        <v>1.8</v>
      </c>
      <c r="K73" s="4">
        <v>81.2</v>
      </c>
      <c r="L73" s="4" t="s">
        <v>15</v>
      </c>
      <c r="M73" s="4">
        <v>270</v>
      </c>
      <c r="N73" s="4">
        <v>8</v>
      </c>
      <c r="O73" s="4">
        <v>460</v>
      </c>
      <c r="P73" s="4" t="s">
        <v>852</v>
      </c>
      <c r="Q73" s="4">
        <v>1</v>
      </c>
    </row>
    <row r="74" spans="1:17" x14ac:dyDescent="0.3">
      <c r="A74" s="4">
        <v>24918</v>
      </c>
      <c r="B74" s="4" t="s">
        <v>931</v>
      </c>
      <c r="C74" s="4" t="s">
        <v>932</v>
      </c>
      <c r="D74" s="4" t="s">
        <v>78</v>
      </c>
      <c r="E74" s="4" t="s">
        <v>83</v>
      </c>
      <c r="F74" s="4">
        <v>60</v>
      </c>
      <c r="G74" s="4" t="str">
        <f t="shared" si="1"/>
        <v>adult</v>
      </c>
      <c r="H74" s="4" t="s">
        <v>965</v>
      </c>
      <c r="I74" s="4" t="s">
        <v>965</v>
      </c>
      <c r="J74" s="4">
        <v>1.86</v>
      </c>
      <c r="K74" s="4">
        <v>90.7</v>
      </c>
      <c r="L74" s="4" t="s">
        <v>15</v>
      </c>
      <c r="M74" s="4">
        <v>490</v>
      </c>
      <c r="N74" s="4">
        <v>2</v>
      </c>
      <c r="O74" s="4">
        <v>606</v>
      </c>
      <c r="P74" s="4" t="s">
        <v>225</v>
      </c>
      <c r="Q74" s="4">
        <v>1</v>
      </c>
    </row>
    <row r="75" spans="1:17" x14ac:dyDescent="0.3">
      <c r="A75" s="4">
        <v>297488</v>
      </c>
      <c r="B75" s="4" t="s">
        <v>865</v>
      </c>
      <c r="C75" s="4" t="s">
        <v>866</v>
      </c>
      <c r="D75" s="4" t="s">
        <v>13</v>
      </c>
      <c r="E75" s="4" t="s">
        <v>19</v>
      </c>
      <c r="F75" s="4">
        <v>50</v>
      </c>
      <c r="G75" s="4" t="str">
        <f t="shared" si="1"/>
        <v>adult</v>
      </c>
      <c r="H75" s="4" t="s">
        <v>965</v>
      </c>
      <c r="I75" s="4" t="s">
        <v>965</v>
      </c>
      <c r="J75" s="4">
        <v>1.83</v>
      </c>
      <c r="K75" s="4">
        <v>86.2</v>
      </c>
      <c r="L75" s="4" t="s">
        <v>15</v>
      </c>
      <c r="M75" s="4">
        <v>620</v>
      </c>
      <c r="N75" s="4">
        <v>2</v>
      </c>
      <c r="O75" s="4">
        <v>501</v>
      </c>
      <c r="P75" s="4" t="s">
        <v>864</v>
      </c>
      <c r="Q75" s="4">
        <v>1</v>
      </c>
    </row>
    <row r="76" spans="1:17" x14ac:dyDescent="0.3">
      <c r="A76" s="4">
        <v>686308</v>
      </c>
      <c r="B76" s="4" t="s">
        <v>235</v>
      </c>
      <c r="C76" s="4" t="s">
        <v>236</v>
      </c>
      <c r="D76" s="4" t="s">
        <v>232</v>
      </c>
      <c r="E76" s="4" t="s">
        <v>237</v>
      </c>
      <c r="F76" s="4">
        <v>19</v>
      </c>
      <c r="G76" s="4" t="str">
        <f t="shared" si="1"/>
        <v>adult</v>
      </c>
      <c r="H76" s="4" t="s">
        <v>233</v>
      </c>
      <c r="I76" s="4">
        <v>44660</v>
      </c>
      <c r="J76" s="4">
        <v>1.8</v>
      </c>
      <c r="K76" s="4">
        <v>87.1</v>
      </c>
      <c r="L76" s="4" t="s">
        <v>59</v>
      </c>
      <c r="M76" s="4">
        <v>74</v>
      </c>
      <c r="N76" s="4">
        <v>49</v>
      </c>
      <c r="O76" s="4">
        <v>142</v>
      </c>
      <c r="P76" s="4" t="s">
        <v>234</v>
      </c>
      <c r="Q76" s="4">
        <v>1</v>
      </c>
    </row>
    <row r="77" spans="1:17" x14ac:dyDescent="0.3">
      <c r="A77" s="4">
        <v>1076087</v>
      </c>
      <c r="B77" s="4" t="s">
        <v>367</v>
      </c>
      <c r="C77" s="4" t="s">
        <v>368</v>
      </c>
      <c r="D77" s="4" t="s">
        <v>364</v>
      </c>
      <c r="E77" s="4" t="s">
        <v>369</v>
      </c>
      <c r="F77" s="4">
        <v>24</v>
      </c>
      <c r="G77" s="4" t="str">
        <f t="shared" si="1"/>
        <v>adult</v>
      </c>
      <c r="H77" s="4" t="s">
        <v>365</v>
      </c>
      <c r="I77" s="4">
        <v>44729</v>
      </c>
      <c r="J77" s="4">
        <v>1.77</v>
      </c>
      <c r="K77" s="4">
        <v>87.1</v>
      </c>
      <c r="L77" s="4" t="s">
        <v>59</v>
      </c>
      <c r="M77" s="4">
        <v>13</v>
      </c>
      <c r="N77" s="4">
        <v>73</v>
      </c>
      <c r="O77" s="4">
        <v>168</v>
      </c>
      <c r="P77" s="4" t="s">
        <v>366</v>
      </c>
      <c r="Q77" s="4">
        <v>1</v>
      </c>
    </row>
    <row r="78" spans="1:17" x14ac:dyDescent="0.3">
      <c r="A78" s="4">
        <v>171764</v>
      </c>
      <c r="B78" s="4" t="s">
        <v>816</v>
      </c>
      <c r="C78" s="4" t="s">
        <v>817</v>
      </c>
      <c r="D78" s="4" t="s">
        <v>13</v>
      </c>
      <c r="E78" s="4" t="s">
        <v>19</v>
      </c>
      <c r="F78" s="4">
        <v>40</v>
      </c>
      <c r="G78" s="4" t="str">
        <f t="shared" si="1"/>
        <v>adult</v>
      </c>
      <c r="H78" s="4" t="s">
        <v>814</v>
      </c>
      <c r="I78" s="4">
        <v>44923</v>
      </c>
      <c r="J78" s="4">
        <v>1.86</v>
      </c>
      <c r="K78" s="4">
        <v>94.3</v>
      </c>
      <c r="L78" s="4" t="s">
        <v>15</v>
      </c>
      <c r="M78" s="4">
        <v>390</v>
      </c>
      <c r="N78" s="4">
        <v>8</v>
      </c>
      <c r="O78" s="4">
        <v>402</v>
      </c>
      <c r="P78" s="4" t="s">
        <v>815</v>
      </c>
      <c r="Q78" s="4">
        <v>1</v>
      </c>
    </row>
    <row r="79" spans="1:17" x14ac:dyDescent="0.3">
      <c r="A79" s="4">
        <v>574502</v>
      </c>
      <c r="B79" s="4" t="s">
        <v>676</v>
      </c>
      <c r="C79" s="4" t="s">
        <v>677</v>
      </c>
      <c r="D79" s="4" t="s">
        <v>673</v>
      </c>
      <c r="E79" s="4" t="s">
        <v>678</v>
      </c>
      <c r="F79" s="4">
        <v>38</v>
      </c>
      <c r="G79" s="4" t="str">
        <f t="shared" si="1"/>
        <v>adult</v>
      </c>
      <c r="H79" s="4" t="s">
        <v>674</v>
      </c>
      <c r="I79" s="4">
        <v>44691</v>
      </c>
      <c r="J79" s="4">
        <v>1.74</v>
      </c>
      <c r="K79" s="4">
        <v>81.599999999999994</v>
      </c>
      <c r="L79" s="4" t="s">
        <v>59</v>
      </c>
      <c r="M79" s="4">
        <v>-55</v>
      </c>
      <c r="N79" s="4">
        <v>130</v>
      </c>
      <c r="O79" s="4">
        <v>226</v>
      </c>
      <c r="P79" s="4" t="s">
        <v>675</v>
      </c>
      <c r="Q79" s="4">
        <v>1</v>
      </c>
    </row>
    <row r="80" spans="1:17" x14ac:dyDescent="0.3">
      <c r="A80" s="4">
        <v>18975</v>
      </c>
      <c r="B80" s="4" t="s">
        <v>943</v>
      </c>
      <c r="C80" s="4" t="s">
        <v>944</v>
      </c>
      <c r="D80" s="4" t="s">
        <v>24</v>
      </c>
      <c r="E80" s="4" t="s">
        <v>27</v>
      </c>
      <c r="F80" s="4">
        <v>62</v>
      </c>
      <c r="G80" s="4" t="str">
        <f t="shared" si="1"/>
        <v>adult</v>
      </c>
      <c r="H80" s="4" t="s">
        <v>941</v>
      </c>
      <c r="I80" s="4">
        <v>44934</v>
      </c>
      <c r="J80" s="4">
        <v>1.71</v>
      </c>
      <c r="K80" s="4">
        <v>73.900000000000006</v>
      </c>
      <c r="L80" s="4" t="s">
        <v>15</v>
      </c>
      <c r="M80" s="4">
        <v>460</v>
      </c>
      <c r="N80" s="4">
        <v>5</v>
      </c>
      <c r="O80" s="4">
        <v>605</v>
      </c>
      <c r="P80" s="4" t="s">
        <v>942</v>
      </c>
      <c r="Q80" s="4">
        <v>1</v>
      </c>
    </row>
    <row r="81" spans="1:17" x14ac:dyDescent="0.3">
      <c r="A81" s="4">
        <v>196667</v>
      </c>
      <c r="B81" s="4" t="s">
        <v>309</v>
      </c>
      <c r="C81" s="4" t="s">
        <v>310</v>
      </c>
      <c r="D81" s="4" t="s">
        <v>13</v>
      </c>
      <c r="E81" s="4" t="s">
        <v>19</v>
      </c>
      <c r="F81" s="4">
        <v>30</v>
      </c>
      <c r="G81" s="4" t="str">
        <f t="shared" si="1"/>
        <v>adult</v>
      </c>
      <c r="H81" s="4" t="s">
        <v>307</v>
      </c>
      <c r="I81" s="4">
        <v>44942</v>
      </c>
      <c r="J81" s="4">
        <v>1.89</v>
      </c>
      <c r="K81" s="4">
        <v>93</v>
      </c>
      <c r="L81" s="4" t="s">
        <v>59</v>
      </c>
      <c r="M81" s="4">
        <v>31</v>
      </c>
      <c r="N81" s="4">
        <v>62</v>
      </c>
      <c r="O81" s="4">
        <v>401</v>
      </c>
      <c r="P81" s="4" t="s">
        <v>308</v>
      </c>
      <c r="Q81" s="4">
        <v>1</v>
      </c>
    </row>
    <row r="82" spans="1:17" x14ac:dyDescent="0.3">
      <c r="A82" s="4">
        <v>639107</v>
      </c>
      <c r="B82" s="4" t="s">
        <v>585</v>
      </c>
      <c r="C82" s="4" t="s">
        <v>586</v>
      </c>
      <c r="D82" s="4" t="s">
        <v>582</v>
      </c>
      <c r="E82" s="4" t="s">
        <v>587</v>
      </c>
      <c r="F82" s="4">
        <v>29</v>
      </c>
      <c r="G82" s="4" t="str">
        <f t="shared" si="1"/>
        <v>adult</v>
      </c>
      <c r="H82" s="4" t="s">
        <v>583</v>
      </c>
      <c r="I82" s="4">
        <v>44618</v>
      </c>
      <c r="J82" s="4">
        <v>1.55</v>
      </c>
      <c r="K82" s="4">
        <v>83.9</v>
      </c>
      <c r="L82" s="4" t="s">
        <v>59</v>
      </c>
      <c r="M82" s="4">
        <v>-39</v>
      </c>
      <c r="N82" s="4">
        <v>114</v>
      </c>
      <c r="O82" s="4">
        <v>207</v>
      </c>
      <c r="P82" s="4" t="s">
        <v>584</v>
      </c>
      <c r="Q82" s="4">
        <v>1</v>
      </c>
    </row>
    <row r="83" spans="1:17" x14ac:dyDescent="0.3">
      <c r="A83" s="4">
        <v>425160</v>
      </c>
      <c r="B83" s="4" t="s">
        <v>716</v>
      </c>
      <c r="C83" s="4" t="s">
        <v>717</v>
      </c>
      <c r="D83" s="4" t="s">
        <v>713</v>
      </c>
      <c r="E83" s="4" t="s">
        <v>718</v>
      </c>
      <c r="F83" s="4">
        <v>24</v>
      </c>
      <c r="G83" s="4" t="str">
        <f t="shared" si="1"/>
        <v>adult</v>
      </c>
      <c r="H83" s="4" t="s">
        <v>714</v>
      </c>
      <c r="I83" s="4">
        <v>44712</v>
      </c>
      <c r="J83" s="4">
        <v>1.68</v>
      </c>
      <c r="K83" s="4">
        <v>70.8</v>
      </c>
      <c r="L83" s="4" t="s">
        <v>59</v>
      </c>
      <c r="M83" s="4">
        <v>-59</v>
      </c>
      <c r="N83" s="4">
        <v>134</v>
      </c>
      <c r="O83" s="4">
        <v>199</v>
      </c>
      <c r="P83" s="4" t="s">
        <v>715</v>
      </c>
      <c r="Q83" s="4">
        <v>1</v>
      </c>
    </row>
    <row r="84" spans="1:17" x14ac:dyDescent="0.3">
      <c r="A84" s="4">
        <v>199533</v>
      </c>
      <c r="B84" s="4" t="s">
        <v>722</v>
      </c>
      <c r="C84" s="4" t="s">
        <v>723</v>
      </c>
      <c r="D84" s="4" t="s">
        <v>719</v>
      </c>
      <c r="E84" s="4" t="s">
        <v>724</v>
      </c>
      <c r="F84" s="4">
        <v>26</v>
      </c>
      <c r="G84" s="4" t="str">
        <f t="shared" si="1"/>
        <v>adult</v>
      </c>
      <c r="H84" s="4" t="s">
        <v>720</v>
      </c>
      <c r="I84" s="4">
        <v>44645</v>
      </c>
      <c r="J84" s="4">
        <v>1.8</v>
      </c>
      <c r="K84" s="4">
        <v>86.2</v>
      </c>
      <c r="L84" s="4" t="s">
        <v>59</v>
      </c>
      <c r="M84" s="4">
        <v>-63</v>
      </c>
      <c r="N84" s="4">
        <v>138</v>
      </c>
      <c r="O84" s="4">
        <v>184</v>
      </c>
      <c r="P84" s="4" t="s">
        <v>721</v>
      </c>
      <c r="Q84" s="4">
        <v>1</v>
      </c>
    </row>
    <row r="85" spans="1:17" x14ac:dyDescent="0.3">
      <c r="A85" s="4">
        <v>199938</v>
      </c>
      <c r="B85" s="4" t="s">
        <v>40</v>
      </c>
      <c r="C85" s="4" t="s">
        <v>41</v>
      </c>
      <c r="D85" s="4" t="s">
        <v>13</v>
      </c>
      <c r="E85" s="4" t="s">
        <v>19</v>
      </c>
      <c r="F85" s="4">
        <v>29</v>
      </c>
      <c r="G85" s="4" t="str">
        <f t="shared" si="1"/>
        <v>adult</v>
      </c>
      <c r="H85" s="4" t="s">
        <v>38</v>
      </c>
      <c r="I85" s="4">
        <v>44590</v>
      </c>
      <c r="J85" s="4">
        <v>1.77</v>
      </c>
      <c r="K85" s="4">
        <v>87.1</v>
      </c>
      <c r="L85" s="4" t="s">
        <v>15</v>
      </c>
      <c r="M85" s="4">
        <v>694</v>
      </c>
      <c r="N85" s="4">
        <v>6</v>
      </c>
      <c r="O85" s="4">
        <v>101</v>
      </c>
      <c r="P85" s="4" t="s">
        <v>39</v>
      </c>
      <c r="Q85" s="4">
        <v>1</v>
      </c>
    </row>
    <row r="86" spans="1:17" x14ac:dyDescent="0.3">
      <c r="A86" s="4">
        <v>16080</v>
      </c>
      <c r="B86" s="4" t="s">
        <v>35</v>
      </c>
      <c r="C86" s="4" t="s">
        <v>36</v>
      </c>
      <c r="D86" s="4" t="s">
        <v>32</v>
      </c>
      <c r="E86" s="4" t="s">
        <v>37</v>
      </c>
      <c r="F86" s="4">
        <v>28</v>
      </c>
      <c r="G86" s="4" t="str">
        <f t="shared" si="1"/>
        <v>adult</v>
      </c>
      <c r="H86" s="4" t="s">
        <v>33</v>
      </c>
      <c r="I86" s="4">
        <v>44792</v>
      </c>
      <c r="J86" s="4">
        <v>1.55</v>
      </c>
      <c r="K86" s="4">
        <v>87.1</v>
      </c>
      <c r="L86" s="4" t="s">
        <v>15</v>
      </c>
      <c r="M86" s="4">
        <v>728</v>
      </c>
      <c r="N86" s="4">
        <v>5</v>
      </c>
      <c r="O86" s="4">
        <v>303</v>
      </c>
      <c r="P86" s="4" t="s">
        <v>34</v>
      </c>
      <c r="Q86" s="4">
        <v>1</v>
      </c>
    </row>
    <row r="87" spans="1:17" x14ac:dyDescent="0.3">
      <c r="A87" s="4">
        <v>120333</v>
      </c>
      <c r="B87" s="4" t="s">
        <v>146</v>
      </c>
      <c r="C87" s="4" t="s">
        <v>77</v>
      </c>
      <c r="D87" s="4" t="s">
        <v>143</v>
      </c>
      <c r="E87" s="4" t="s">
        <v>147</v>
      </c>
      <c r="F87" s="4">
        <v>35</v>
      </c>
      <c r="G87" s="4" t="str">
        <f t="shared" si="1"/>
        <v>adult</v>
      </c>
      <c r="H87" s="4" t="s">
        <v>144</v>
      </c>
      <c r="I87" s="4">
        <v>44766</v>
      </c>
      <c r="J87" s="4">
        <v>1.86</v>
      </c>
      <c r="K87" s="4">
        <v>88.5</v>
      </c>
      <c r="L87" s="4" t="s">
        <v>59</v>
      </c>
      <c r="M87" s="4">
        <v>216</v>
      </c>
      <c r="N87" s="4">
        <v>29</v>
      </c>
      <c r="O87" s="4">
        <v>137</v>
      </c>
      <c r="P87" s="4" t="s">
        <v>145</v>
      </c>
      <c r="Q87" s="4">
        <v>1</v>
      </c>
    </row>
    <row r="88" spans="1:17" x14ac:dyDescent="0.3">
      <c r="A88" s="4">
        <v>501728</v>
      </c>
      <c r="B88" s="4" t="s">
        <v>146</v>
      </c>
      <c r="C88" s="4" t="s">
        <v>187</v>
      </c>
      <c r="D88" s="4" t="s">
        <v>13</v>
      </c>
      <c r="E88" s="4" t="s">
        <v>19</v>
      </c>
      <c r="F88" s="4">
        <v>30</v>
      </c>
      <c r="G88" s="4" t="str">
        <f t="shared" si="1"/>
        <v>adult</v>
      </c>
      <c r="H88" s="4" t="s">
        <v>185</v>
      </c>
      <c r="I88" s="4">
        <v>44752</v>
      </c>
      <c r="J88" s="4">
        <v>1.55</v>
      </c>
      <c r="K88" s="4">
        <v>83.9</v>
      </c>
      <c r="L88" s="4" t="s">
        <v>59</v>
      </c>
      <c r="M88" s="4">
        <v>159</v>
      </c>
      <c r="N88" s="4">
        <v>39</v>
      </c>
      <c r="O88" s="4">
        <v>106</v>
      </c>
      <c r="P88" s="4" t="s">
        <v>186</v>
      </c>
      <c r="Q88" s="4">
        <v>1</v>
      </c>
    </row>
    <row r="89" spans="1:17" x14ac:dyDescent="0.3">
      <c r="A89" s="4">
        <v>532455</v>
      </c>
      <c r="B89" s="4" t="s">
        <v>146</v>
      </c>
      <c r="C89" s="4" t="s">
        <v>792</v>
      </c>
      <c r="D89" s="4" t="s">
        <v>13</v>
      </c>
      <c r="E89" s="4" t="s">
        <v>19</v>
      </c>
      <c r="F89" s="4">
        <v>43</v>
      </c>
      <c r="G89" s="4" t="str">
        <f t="shared" si="1"/>
        <v>adult</v>
      </c>
      <c r="H89" s="4" t="s">
        <v>790</v>
      </c>
      <c r="I89" s="4">
        <v>44930</v>
      </c>
      <c r="J89" s="4">
        <v>1.77</v>
      </c>
      <c r="K89" s="4">
        <v>86.2</v>
      </c>
      <c r="L89" s="4" t="s">
        <v>15</v>
      </c>
      <c r="M89" s="4">
        <v>640</v>
      </c>
      <c r="N89" s="4">
        <v>1</v>
      </c>
      <c r="O89" s="4">
        <v>407</v>
      </c>
      <c r="P89" s="4" t="s">
        <v>791</v>
      </c>
      <c r="Q89" s="4">
        <v>1</v>
      </c>
    </row>
    <row r="90" spans="1:17" x14ac:dyDescent="0.3">
      <c r="A90" s="4">
        <v>105253</v>
      </c>
      <c r="B90" s="4" t="s">
        <v>383</v>
      </c>
      <c r="C90" s="4" t="s">
        <v>384</v>
      </c>
      <c r="D90" s="4" t="s">
        <v>380</v>
      </c>
      <c r="E90" s="4" t="s">
        <v>385</v>
      </c>
      <c r="F90" s="4">
        <v>27</v>
      </c>
      <c r="G90" s="4" t="str">
        <f t="shared" si="1"/>
        <v>adult</v>
      </c>
      <c r="H90" s="4" t="s">
        <v>381</v>
      </c>
      <c r="I90" s="4">
        <v>44736</v>
      </c>
      <c r="J90" s="4">
        <v>1.55</v>
      </c>
      <c r="K90" s="4">
        <v>86.2</v>
      </c>
      <c r="L90" s="4" t="s">
        <v>59</v>
      </c>
      <c r="M90" s="4">
        <v>3</v>
      </c>
      <c r="N90" s="4">
        <v>76</v>
      </c>
      <c r="O90" s="4">
        <v>182</v>
      </c>
      <c r="P90" s="4" t="s">
        <v>382</v>
      </c>
      <c r="Q90" s="4">
        <v>1</v>
      </c>
    </row>
    <row r="91" spans="1:17" x14ac:dyDescent="0.3">
      <c r="A91" s="4">
        <v>308712</v>
      </c>
      <c r="B91" s="4" t="s">
        <v>433</v>
      </c>
      <c r="C91" s="4" t="s">
        <v>434</v>
      </c>
      <c r="D91" s="4" t="s">
        <v>78</v>
      </c>
      <c r="E91" s="4" t="s">
        <v>83</v>
      </c>
      <c r="F91" s="4">
        <v>25</v>
      </c>
      <c r="G91" s="4" t="str">
        <f t="shared" si="1"/>
        <v>adult</v>
      </c>
      <c r="H91" s="4" t="s">
        <v>431</v>
      </c>
      <c r="I91" s="4">
        <v>44617</v>
      </c>
      <c r="J91" s="4">
        <v>1.8</v>
      </c>
      <c r="K91" s="4">
        <v>88.5</v>
      </c>
      <c r="L91" s="4" t="s">
        <v>59</v>
      </c>
      <c r="M91" s="4">
        <v>-10</v>
      </c>
      <c r="N91" s="4">
        <v>85</v>
      </c>
      <c r="O91" s="4">
        <v>124</v>
      </c>
      <c r="P91" s="4" t="s">
        <v>432</v>
      </c>
      <c r="Q91" s="4">
        <v>1</v>
      </c>
    </row>
    <row r="92" spans="1:17" x14ac:dyDescent="0.3">
      <c r="A92" s="4">
        <v>469656</v>
      </c>
      <c r="B92" s="4" t="s">
        <v>164</v>
      </c>
      <c r="C92" s="4" t="s">
        <v>165</v>
      </c>
      <c r="D92" s="4" t="s">
        <v>78</v>
      </c>
      <c r="E92" s="4" t="s">
        <v>83</v>
      </c>
      <c r="F92" s="4">
        <v>25</v>
      </c>
      <c r="G92" s="4" t="str">
        <f t="shared" si="1"/>
        <v>adult</v>
      </c>
      <c r="H92" s="4" t="s">
        <v>162</v>
      </c>
      <c r="I92" s="4">
        <v>44595</v>
      </c>
      <c r="J92" s="4">
        <v>1.8</v>
      </c>
      <c r="K92" s="4">
        <v>89.4</v>
      </c>
      <c r="L92" s="4" t="s">
        <v>59</v>
      </c>
      <c r="M92" s="4">
        <v>193</v>
      </c>
      <c r="N92" s="4">
        <v>33</v>
      </c>
      <c r="O92" s="4">
        <v>117</v>
      </c>
      <c r="P92" s="4" t="s">
        <v>163</v>
      </c>
      <c r="Q92" s="4">
        <v>1</v>
      </c>
    </row>
    <row r="93" spans="1:17" x14ac:dyDescent="0.3">
      <c r="A93" s="4">
        <v>1721</v>
      </c>
      <c r="B93" s="4" t="s">
        <v>452</v>
      </c>
      <c r="C93" s="4" t="s">
        <v>453</v>
      </c>
      <c r="D93" s="4" t="s">
        <v>449</v>
      </c>
      <c r="E93" s="4" t="s">
        <v>454</v>
      </c>
      <c r="F93" s="4">
        <v>28</v>
      </c>
      <c r="G93" s="4" t="str">
        <f t="shared" si="1"/>
        <v>adult</v>
      </c>
      <c r="H93" s="4" t="s">
        <v>450</v>
      </c>
      <c r="I93" s="4">
        <v>44647</v>
      </c>
      <c r="J93" s="4">
        <v>1.77</v>
      </c>
      <c r="K93" s="4">
        <v>86.2</v>
      </c>
      <c r="L93" s="4" t="s">
        <v>59</v>
      </c>
      <c r="M93" s="4">
        <v>-14</v>
      </c>
      <c r="N93" s="4">
        <v>89</v>
      </c>
      <c r="O93" s="4">
        <v>215</v>
      </c>
      <c r="P93" s="4" t="s">
        <v>451</v>
      </c>
      <c r="Q93" s="4">
        <v>1</v>
      </c>
    </row>
    <row r="94" spans="1:17" x14ac:dyDescent="0.3">
      <c r="A94" s="4">
        <v>278578</v>
      </c>
      <c r="B94" s="4" t="s">
        <v>552</v>
      </c>
      <c r="C94" s="4" t="s">
        <v>553</v>
      </c>
      <c r="D94" s="4" t="s">
        <v>549</v>
      </c>
      <c r="E94" s="4" t="s">
        <v>554</v>
      </c>
      <c r="F94" s="4">
        <v>28</v>
      </c>
      <c r="G94" s="4" t="str">
        <f t="shared" si="1"/>
        <v>adult</v>
      </c>
      <c r="H94" s="4" t="s">
        <v>550</v>
      </c>
      <c r="I94" s="4">
        <v>44739</v>
      </c>
      <c r="J94" s="4">
        <v>1.74</v>
      </c>
      <c r="K94" s="4">
        <v>78.900000000000006</v>
      </c>
      <c r="L94" s="4" t="s">
        <v>59</v>
      </c>
      <c r="M94" s="4">
        <v>-33</v>
      </c>
      <c r="N94" s="4">
        <v>108</v>
      </c>
      <c r="O94" s="4">
        <v>150</v>
      </c>
      <c r="P94" s="4" t="s">
        <v>551</v>
      </c>
      <c r="Q94" s="4">
        <v>1</v>
      </c>
    </row>
    <row r="95" spans="1:17" x14ac:dyDescent="0.3">
      <c r="A95" s="4">
        <v>233855</v>
      </c>
      <c r="B95" s="4" t="s">
        <v>412</v>
      </c>
      <c r="C95" s="4" t="s">
        <v>413</v>
      </c>
      <c r="D95" s="4" t="s">
        <v>409</v>
      </c>
      <c r="E95" s="4" t="s">
        <v>414</v>
      </c>
      <c r="F95" s="4">
        <v>24</v>
      </c>
      <c r="G95" s="4" t="str">
        <f t="shared" si="1"/>
        <v>adult</v>
      </c>
      <c r="H95" s="4" t="s">
        <v>410</v>
      </c>
      <c r="I95" s="4">
        <v>44765</v>
      </c>
      <c r="J95" s="4">
        <v>1.74</v>
      </c>
      <c r="K95" s="4">
        <v>83.9</v>
      </c>
      <c r="L95" s="4" t="s">
        <v>59</v>
      </c>
      <c r="M95" s="4">
        <v>-6</v>
      </c>
      <c r="N95" s="4">
        <v>81</v>
      </c>
      <c r="O95" s="4">
        <v>155</v>
      </c>
      <c r="P95" s="4" t="s">
        <v>411</v>
      </c>
      <c r="Q95" s="4">
        <v>1</v>
      </c>
    </row>
    <row r="96" spans="1:17" x14ac:dyDescent="0.3">
      <c r="A96" s="4">
        <v>153858</v>
      </c>
      <c r="B96" s="4" t="s">
        <v>873</v>
      </c>
      <c r="C96" s="4" t="s">
        <v>874</v>
      </c>
      <c r="D96" s="4" t="s">
        <v>13</v>
      </c>
      <c r="E96" s="4" t="s">
        <v>19</v>
      </c>
      <c r="F96" s="4">
        <v>51</v>
      </c>
      <c r="G96" s="4" t="str">
        <f t="shared" si="1"/>
        <v>adult</v>
      </c>
      <c r="H96" s="4" t="s">
        <v>871</v>
      </c>
      <c r="I96" s="4">
        <v>44833</v>
      </c>
      <c r="J96" s="4">
        <v>1.55</v>
      </c>
      <c r="K96" s="4">
        <v>83.9</v>
      </c>
      <c r="L96" s="4" t="s">
        <v>15</v>
      </c>
      <c r="M96" s="4">
        <v>520</v>
      </c>
      <c r="N96" s="4">
        <v>4</v>
      </c>
      <c r="O96" s="4">
        <v>506</v>
      </c>
      <c r="P96" s="4" t="s">
        <v>872</v>
      </c>
      <c r="Q96" s="4">
        <v>1</v>
      </c>
    </row>
    <row r="97" spans="1:17" x14ac:dyDescent="0.3">
      <c r="A97" s="4">
        <v>111119</v>
      </c>
      <c r="B97" s="4" t="s">
        <v>900</v>
      </c>
      <c r="C97" s="4" t="s">
        <v>901</v>
      </c>
      <c r="D97" s="4" t="s">
        <v>13</v>
      </c>
      <c r="E97" s="4" t="s">
        <v>19</v>
      </c>
      <c r="F97" s="4">
        <v>55</v>
      </c>
      <c r="G97" s="4" t="str">
        <f t="shared" si="1"/>
        <v>adult</v>
      </c>
      <c r="H97" s="4" t="s">
        <v>898</v>
      </c>
      <c r="I97" s="4">
        <v>44919</v>
      </c>
      <c r="J97" s="4">
        <v>1.86</v>
      </c>
      <c r="K97" s="4">
        <v>90.7</v>
      </c>
      <c r="L97" s="4" t="s">
        <v>15</v>
      </c>
      <c r="M97" s="4">
        <v>530</v>
      </c>
      <c r="N97" s="4">
        <v>1</v>
      </c>
      <c r="O97" s="4">
        <v>553</v>
      </c>
      <c r="P97" s="4" t="s">
        <v>899</v>
      </c>
      <c r="Q97" s="4">
        <v>1</v>
      </c>
    </row>
    <row r="98" spans="1:17" x14ac:dyDescent="0.3">
      <c r="A98" s="4">
        <v>631875</v>
      </c>
      <c r="B98" s="4" t="s">
        <v>828</v>
      </c>
      <c r="C98" s="4" t="s">
        <v>829</v>
      </c>
      <c r="D98" s="4" t="s">
        <v>13</v>
      </c>
      <c r="E98" s="4" t="s">
        <v>19</v>
      </c>
      <c r="F98" s="4">
        <v>45</v>
      </c>
      <c r="G98" s="4" t="str">
        <f t="shared" si="1"/>
        <v>adult</v>
      </c>
      <c r="H98" s="4" t="s">
        <v>826</v>
      </c>
      <c r="I98" s="4">
        <v>44861</v>
      </c>
      <c r="J98" s="4">
        <v>1.74</v>
      </c>
      <c r="K98" s="4">
        <v>78.5</v>
      </c>
      <c r="L98" s="4" t="s">
        <v>15</v>
      </c>
      <c r="M98" s="4">
        <v>740</v>
      </c>
      <c r="N98" s="4">
        <v>1</v>
      </c>
      <c r="O98" s="4">
        <v>458</v>
      </c>
      <c r="P98" s="4" t="s">
        <v>827</v>
      </c>
      <c r="Q98" s="4">
        <v>1</v>
      </c>
    </row>
    <row r="99" spans="1:17" x14ac:dyDescent="0.3">
      <c r="A99" s="4">
        <v>244353</v>
      </c>
      <c r="B99" s="4" t="s">
        <v>221</v>
      </c>
      <c r="C99" s="4" t="s">
        <v>222</v>
      </c>
      <c r="D99" s="4" t="s">
        <v>13</v>
      </c>
      <c r="E99" s="4" t="s">
        <v>19</v>
      </c>
      <c r="F99" s="4">
        <v>26</v>
      </c>
      <c r="G99" s="4" t="str">
        <f t="shared" si="1"/>
        <v>adult</v>
      </c>
      <c r="H99" s="4" t="s">
        <v>219</v>
      </c>
      <c r="I99" s="4">
        <v>44794</v>
      </c>
      <c r="J99" s="4">
        <v>1.55</v>
      </c>
      <c r="K99" s="4">
        <v>87.1</v>
      </c>
      <c r="L99" s="4" t="s">
        <v>59</v>
      </c>
      <c r="M99" s="4">
        <v>92</v>
      </c>
      <c r="N99" s="4">
        <v>46</v>
      </c>
      <c r="O99" s="4">
        <v>306</v>
      </c>
      <c r="P99" s="4" t="s">
        <v>220</v>
      </c>
      <c r="Q99" s="4">
        <v>1</v>
      </c>
    </row>
    <row r="100" spans="1:17" x14ac:dyDescent="0.3">
      <c r="A100" s="4">
        <v>173837</v>
      </c>
      <c r="B100" s="4" t="s">
        <v>178</v>
      </c>
      <c r="C100" s="4" t="s">
        <v>179</v>
      </c>
      <c r="D100" s="4" t="s">
        <v>176</v>
      </c>
      <c r="E100" s="4" t="s">
        <v>180</v>
      </c>
      <c r="F100" s="4">
        <v>24</v>
      </c>
      <c r="G100" s="4" t="str">
        <f t="shared" si="1"/>
        <v>adult</v>
      </c>
      <c r="H100" s="4" t="s">
        <v>166</v>
      </c>
      <c r="I100" s="4">
        <v>44725</v>
      </c>
      <c r="J100" s="4">
        <v>1.74</v>
      </c>
      <c r="K100" s="4">
        <v>84.8</v>
      </c>
      <c r="L100" s="4" t="s">
        <v>59</v>
      </c>
      <c r="M100" s="4">
        <v>165</v>
      </c>
      <c r="N100" s="4">
        <v>37</v>
      </c>
      <c r="O100" s="4">
        <v>131</v>
      </c>
      <c r="P100" s="4" t="s">
        <v>177</v>
      </c>
      <c r="Q100" s="4">
        <v>1</v>
      </c>
    </row>
    <row r="101" spans="1:17" x14ac:dyDescent="0.3">
      <c r="A101" s="4">
        <v>4895</v>
      </c>
      <c r="B101" s="4" t="s">
        <v>325</v>
      </c>
      <c r="C101" s="4" t="s">
        <v>764</v>
      </c>
      <c r="D101" s="4" t="s">
        <v>13</v>
      </c>
      <c r="E101" s="4" t="s">
        <v>19</v>
      </c>
      <c r="F101" s="4">
        <v>35</v>
      </c>
      <c r="G101" s="4" t="str">
        <f t="shared" si="1"/>
        <v>adult</v>
      </c>
      <c r="H101" s="4" t="s">
        <v>762</v>
      </c>
      <c r="I101" s="4">
        <v>44880</v>
      </c>
      <c r="J101" s="4">
        <v>1.55</v>
      </c>
      <c r="K101" s="4">
        <v>83.9</v>
      </c>
      <c r="L101" s="4" t="s">
        <v>15</v>
      </c>
      <c r="M101" s="4">
        <v>600</v>
      </c>
      <c r="N101" s="4">
        <v>2</v>
      </c>
      <c r="O101" s="4">
        <v>359</v>
      </c>
      <c r="P101" s="4" t="s">
        <v>763</v>
      </c>
      <c r="Q101" s="4">
        <v>1</v>
      </c>
    </row>
    <row r="102" spans="1:17" x14ac:dyDescent="0.3">
      <c r="A102" s="4">
        <v>93473</v>
      </c>
      <c r="B102" s="4" t="s">
        <v>423</v>
      </c>
      <c r="C102" s="4" t="s">
        <v>424</v>
      </c>
      <c r="D102" s="4" t="s">
        <v>13</v>
      </c>
      <c r="E102" s="4" t="s">
        <v>19</v>
      </c>
      <c r="F102" s="4">
        <v>30</v>
      </c>
      <c r="G102" s="4" t="str">
        <f t="shared" si="1"/>
        <v>adult</v>
      </c>
      <c r="H102" s="4" t="s">
        <v>421</v>
      </c>
      <c r="I102" s="4">
        <v>44971</v>
      </c>
      <c r="J102" s="4">
        <v>1.8</v>
      </c>
      <c r="K102" s="4">
        <v>86.2</v>
      </c>
      <c r="L102" s="4" t="s">
        <v>59</v>
      </c>
      <c r="M102" s="4">
        <v>-8</v>
      </c>
      <c r="N102" s="4">
        <v>83</v>
      </c>
      <c r="O102" s="4">
        <v>315</v>
      </c>
      <c r="P102" s="4" t="s">
        <v>422</v>
      </c>
      <c r="Q102" s="4">
        <v>1</v>
      </c>
    </row>
    <row r="103" spans="1:17" x14ac:dyDescent="0.3">
      <c r="A103" s="4">
        <v>286691</v>
      </c>
      <c r="B103" s="4" t="s">
        <v>92</v>
      </c>
      <c r="C103" s="4" t="s">
        <v>93</v>
      </c>
      <c r="D103" s="4" t="s">
        <v>89</v>
      </c>
      <c r="E103" s="4" t="s">
        <v>94</v>
      </c>
      <c r="F103" s="4">
        <v>27</v>
      </c>
      <c r="G103" s="4" t="str">
        <f t="shared" si="1"/>
        <v>adult</v>
      </c>
      <c r="H103" s="4" t="s">
        <v>90</v>
      </c>
      <c r="I103" s="4">
        <v>44658</v>
      </c>
      <c r="J103" s="4">
        <v>1.83</v>
      </c>
      <c r="K103" s="4">
        <v>86.2</v>
      </c>
      <c r="L103" s="4" t="s">
        <v>59</v>
      </c>
      <c r="M103" s="4">
        <v>315</v>
      </c>
      <c r="N103" s="4">
        <v>18</v>
      </c>
      <c r="O103" s="4">
        <v>136</v>
      </c>
      <c r="P103" s="4" t="s">
        <v>91</v>
      </c>
      <c r="Q103" s="4">
        <v>1</v>
      </c>
    </row>
    <row r="104" spans="1:17" x14ac:dyDescent="0.3">
      <c r="A104" s="4">
        <v>915210</v>
      </c>
      <c r="B104" s="4" t="s">
        <v>591</v>
      </c>
      <c r="C104" s="4" t="s">
        <v>592</v>
      </c>
      <c r="D104" s="4" t="s">
        <v>588</v>
      </c>
      <c r="E104" s="4" t="s">
        <v>593</v>
      </c>
      <c r="F104" s="4">
        <v>30</v>
      </c>
      <c r="G104" s="4" t="str">
        <f t="shared" si="1"/>
        <v>adult</v>
      </c>
      <c r="H104" s="4" t="s">
        <v>589</v>
      </c>
      <c r="I104" s="4">
        <v>44698</v>
      </c>
      <c r="J104" s="4">
        <v>1.71</v>
      </c>
      <c r="K104" s="4">
        <v>81.2</v>
      </c>
      <c r="L104" s="4" t="s">
        <v>59</v>
      </c>
      <c r="M104" s="4">
        <v>-40</v>
      </c>
      <c r="N104" s="4">
        <v>115</v>
      </c>
      <c r="O104" s="4">
        <v>174</v>
      </c>
      <c r="P104" s="4" t="s">
        <v>590</v>
      </c>
      <c r="Q104" s="4">
        <v>1</v>
      </c>
    </row>
    <row r="105" spans="1:17" x14ac:dyDescent="0.3">
      <c r="A105" s="4">
        <v>434258</v>
      </c>
      <c r="B105" s="4" t="s">
        <v>438</v>
      </c>
      <c r="C105" s="4" t="s">
        <v>439</v>
      </c>
      <c r="D105" s="4" t="s">
        <v>435</v>
      </c>
      <c r="E105" s="4" t="s">
        <v>440</v>
      </c>
      <c r="F105" s="4">
        <v>25</v>
      </c>
      <c r="G105" s="4" t="str">
        <f t="shared" si="1"/>
        <v>adult</v>
      </c>
      <c r="H105" s="4" t="s">
        <v>436</v>
      </c>
      <c r="I105" s="4">
        <v>44742</v>
      </c>
      <c r="J105" s="4">
        <v>1.8</v>
      </c>
      <c r="K105" s="4">
        <v>83.9</v>
      </c>
      <c r="L105" s="4" t="s">
        <v>59</v>
      </c>
      <c r="M105" s="4">
        <v>-11</v>
      </c>
      <c r="N105" s="4">
        <v>86</v>
      </c>
      <c r="O105" s="4">
        <v>183</v>
      </c>
      <c r="P105" s="4" t="s">
        <v>437</v>
      </c>
      <c r="Q105" s="4">
        <v>1</v>
      </c>
    </row>
    <row r="106" spans="1:17" x14ac:dyDescent="0.3">
      <c r="A106" s="4">
        <v>116627</v>
      </c>
      <c r="B106" s="4" t="s">
        <v>438</v>
      </c>
      <c r="C106" s="4" t="s">
        <v>832</v>
      </c>
      <c r="D106" s="4" t="s">
        <v>13</v>
      </c>
      <c r="E106" s="4" t="s">
        <v>19</v>
      </c>
      <c r="F106" s="4">
        <v>45</v>
      </c>
      <c r="G106" s="4" t="str">
        <f t="shared" si="1"/>
        <v>adult</v>
      </c>
      <c r="H106" s="4" t="s">
        <v>830</v>
      </c>
      <c r="I106" s="4">
        <v>44829</v>
      </c>
      <c r="J106" s="4">
        <v>1.74</v>
      </c>
      <c r="K106" s="4">
        <v>83.9</v>
      </c>
      <c r="L106" s="4" t="s">
        <v>15</v>
      </c>
      <c r="M106" s="4">
        <v>640</v>
      </c>
      <c r="N106" s="4">
        <v>2</v>
      </c>
      <c r="O106" s="4">
        <v>451</v>
      </c>
      <c r="P106" s="4" t="s">
        <v>831</v>
      </c>
      <c r="Q106" s="4">
        <v>1</v>
      </c>
    </row>
    <row r="107" spans="1:17" x14ac:dyDescent="0.3">
      <c r="A107" s="4">
        <v>32083</v>
      </c>
      <c r="B107" s="4" t="s">
        <v>564</v>
      </c>
      <c r="C107" s="4" t="s">
        <v>565</v>
      </c>
      <c r="D107" s="4" t="s">
        <v>561</v>
      </c>
      <c r="E107" s="4" t="s">
        <v>566</v>
      </c>
      <c r="F107" s="4">
        <v>33</v>
      </c>
      <c r="G107" s="4" t="str">
        <f t="shared" si="1"/>
        <v>adult</v>
      </c>
      <c r="H107" s="4" t="s">
        <v>562</v>
      </c>
      <c r="I107" s="4">
        <v>44707</v>
      </c>
      <c r="J107" s="4">
        <v>1.77</v>
      </c>
      <c r="K107" s="4">
        <v>83.9</v>
      </c>
      <c r="L107" s="4" t="s">
        <v>59</v>
      </c>
      <c r="M107" s="4">
        <v>-35</v>
      </c>
      <c r="N107" s="4">
        <v>110</v>
      </c>
      <c r="O107" s="4">
        <v>198</v>
      </c>
      <c r="P107" s="4" t="s">
        <v>563</v>
      </c>
      <c r="Q107" s="4">
        <v>1</v>
      </c>
    </row>
    <row r="108" spans="1:17" x14ac:dyDescent="0.3">
      <c r="A108" s="4">
        <v>1223806</v>
      </c>
      <c r="B108" s="4" t="s">
        <v>670</v>
      </c>
      <c r="C108" s="4" t="s">
        <v>671</v>
      </c>
      <c r="D108" s="4" t="s">
        <v>667</v>
      </c>
      <c r="E108" s="4" t="s">
        <v>672</v>
      </c>
      <c r="F108" s="4">
        <v>31</v>
      </c>
      <c r="G108" s="4" t="str">
        <f t="shared" si="1"/>
        <v>adult</v>
      </c>
      <c r="H108" s="4" t="s">
        <v>668</v>
      </c>
      <c r="I108" s="4">
        <v>44749</v>
      </c>
      <c r="J108" s="4">
        <v>1.74</v>
      </c>
      <c r="K108" s="4">
        <v>66.2</v>
      </c>
      <c r="L108" s="4" t="s">
        <v>59</v>
      </c>
      <c r="M108" s="4">
        <v>-54</v>
      </c>
      <c r="N108" s="4">
        <v>129</v>
      </c>
      <c r="O108" s="4">
        <v>231</v>
      </c>
      <c r="P108" s="4" t="s">
        <v>669</v>
      </c>
      <c r="Q108" s="4">
        <v>1</v>
      </c>
    </row>
    <row r="109" spans="1:17" x14ac:dyDescent="0.3">
      <c r="A109" s="4">
        <v>839047</v>
      </c>
      <c r="B109" s="4" t="s">
        <v>745</v>
      </c>
      <c r="C109" s="4" t="s">
        <v>746</v>
      </c>
      <c r="D109" s="4" t="s">
        <v>743</v>
      </c>
      <c r="E109" s="4" t="s">
        <v>747</v>
      </c>
      <c r="F109" s="4">
        <v>31</v>
      </c>
      <c r="G109" s="4" t="str">
        <f t="shared" si="1"/>
        <v>adult</v>
      </c>
      <c r="H109" s="4" t="s">
        <v>744</v>
      </c>
      <c r="I109" s="4">
        <v>44711</v>
      </c>
      <c r="J109" s="4">
        <v>1.65</v>
      </c>
      <c r="K109" s="4">
        <v>63.5</v>
      </c>
      <c r="L109" s="4" t="s">
        <v>59</v>
      </c>
      <c r="M109" s="4">
        <v>-63</v>
      </c>
      <c r="N109" s="4">
        <v>138</v>
      </c>
      <c r="O109" s="4">
        <v>228</v>
      </c>
      <c r="P109" s="4" t="s">
        <v>225</v>
      </c>
      <c r="Q109" s="4">
        <v>1</v>
      </c>
    </row>
    <row r="110" spans="1:17" x14ac:dyDescent="0.3">
      <c r="A110" s="4">
        <v>38826</v>
      </c>
      <c r="B110" s="4" t="s">
        <v>904</v>
      </c>
      <c r="C110" s="4" t="s">
        <v>905</v>
      </c>
      <c r="D110" s="4" t="s">
        <v>13</v>
      </c>
      <c r="E110" s="4" t="s">
        <v>19</v>
      </c>
      <c r="F110" s="4">
        <v>56</v>
      </c>
      <c r="G110" s="4" t="str">
        <f t="shared" si="1"/>
        <v>adult</v>
      </c>
      <c r="H110" s="4" t="s">
        <v>902</v>
      </c>
      <c r="I110" s="4">
        <v>44886</v>
      </c>
      <c r="J110" s="4">
        <v>1.83</v>
      </c>
      <c r="K110" s="4">
        <v>93</v>
      </c>
      <c r="L110" s="4" t="s">
        <v>15</v>
      </c>
      <c r="M110" s="4">
        <v>530</v>
      </c>
      <c r="N110" s="4">
        <v>2</v>
      </c>
      <c r="O110" s="4">
        <v>558</v>
      </c>
      <c r="P110" s="4" t="s">
        <v>903</v>
      </c>
      <c r="Q110" s="4">
        <v>1</v>
      </c>
    </row>
    <row r="111" spans="1:17" x14ac:dyDescent="0.3">
      <c r="A111" s="4">
        <v>661916</v>
      </c>
      <c r="B111" s="4" t="s">
        <v>904</v>
      </c>
      <c r="C111" s="4" t="s">
        <v>952</v>
      </c>
      <c r="D111" s="4" t="s">
        <v>13</v>
      </c>
      <c r="E111" s="4" t="s">
        <v>19</v>
      </c>
      <c r="F111" s="4">
        <v>60</v>
      </c>
      <c r="G111" s="4" t="str">
        <f t="shared" si="1"/>
        <v>adult</v>
      </c>
      <c r="H111" s="4" t="s">
        <v>950</v>
      </c>
      <c r="I111" s="4">
        <v>44890</v>
      </c>
      <c r="J111" s="4">
        <v>1.56</v>
      </c>
      <c r="K111" s="4">
        <v>79.400000000000006</v>
      </c>
      <c r="L111" s="4" t="s">
        <v>15</v>
      </c>
      <c r="M111" s="4">
        <v>310</v>
      </c>
      <c r="N111" s="4">
        <v>8</v>
      </c>
      <c r="O111" s="4">
        <v>604</v>
      </c>
      <c r="P111" s="4" t="s">
        <v>951</v>
      </c>
      <c r="Q111" s="4">
        <v>1</v>
      </c>
    </row>
    <row r="112" spans="1:17" x14ac:dyDescent="0.3">
      <c r="A112" s="4">
        <v>59012</v>
      </c>
      <c r="B112" s="4" t="s">
        <v>778</v>
      </c>
      <c r="C112" s="4" t="s">
        <v>779</v>
      </c>
      <c r="D112" s="4" t="s">
        <v>13</v>
      </c>
      <c r="E112" s="4" t="s">
        <v>19</v>
      </c>
      <c r="F112" s="4">
        <v>37</v>
      </c>
      <c r="G112" s="4" t="str">
        <f t="shared" si="1"/>
        <v>adult</v>
      </c>
      <c r="H112" s="4" t="s">
        <v>777</v>
      </c>
      <c r="I112" s="4">
        <v>44906</v>
      </c>
      <c r="J112" s="4">
        <v>1.55</v>
      </c>
      <c r="K112" s="4">
        <v>88.5</v>
      </c>
      <c r="L112" s="4" t="s">
        <v>15</v>
      </c>
      <c r="M112" s="4">
        <v>400</v>
      </c>
      <c r="N112" s="4">
        <v>7</v>
      </c>
      <c r="O112" s="4">
        <v>354</v>
      </c>
      <c r="P112" s="4" t="s">
        <v>225</v>
      </c>
      <c r="Q112" s="4">
        <v>1</v>
      </c>
    </row>
    <row r="113" spans="1:17" x14ac:dyDescent="0.3">
      <c r="A113" s="4">
        <v>721301</v>
      </c>
      <c r="B113" s="4" t="s">
        <v>778</v>
      </c>
      <c r="C113" s="4" t="s">
        <v>863</v>
      </c>
      <c r="D113" s="4" t="s">
        <v>13</v>
      </c>
      <c r="E113" s="4" t="s">
        <v>19</v>
      </c>
      <c r="F113" s="4">
        <v>52</v>
      </c>
      <c r="G113" s="4" t="str">
        <f t="shared" si="1"/>
        <v>adult</v>
      </c>
      <c r="H113" s="4" t="s">
        <v>861</v>
      </c>
      <c r="I113" s="4">
        <v>44870</v>
      </c>
      <c r="J113" s="4">
        <v>1.77</v>
      </c>
      <c r="K113" s="4">
        <v>77.099999999999994</v>
      </c>
      <c r="L113" s="4" t="s">
        <v>15</v>
      </c>
      <c r="M113" s="4">
        <v>630</v>
      </c>
      <c r="N113" s="4">
        <v>1</v>
      </c>
      <c r="O113" s="4">
        <v>502</v>
      </c>
      <c r="P113" s="4" t="s">
        <v>862</v>
      </c>
      <c r="Q113" s="4">
        <v>1</v>
      </c>
    </row>
    <row r="114" spans="1:17" x14ac:dyDescent="0.3">
      <c r="A114" s="4">
        <v>703126</v>
      </c>
      <c r="B114" s="4" t="s">
        <v>389</v>
      </c>
      <c r="C114" s="4" t="s">
        <v>390</v>
      </c>
      <c r="D114" s="4" t="s">
        <v>386</v>
      </c>
      <c r="E114" s="4" t="s">
        <v>391</v>
      </c>
      <c r="F114" s="4">
        <v>32</v>
      </c>
      <c r="G114" s="4" t="str">
        <f t="shared" si="1"/>
        <v>adult</v>
      </c>
      <c r="H114" s="4" t="s">
        <v>387</v>
      </c>
      <c r="I114" s="4">
        <v>44699</v>
      </c>
      <c r="J114" s="4">
        <v>1.8</v>
      </c>
      <c r="K114" s="4">
        <v>88</v>
      </c>
      <c r="L114" s="4" t="s">
        <v>59</v>
      </c>
      <c r="M114" s="4">
        <v>-2</v>
      </c>
      <c r="N114" s="4">
        <v>77</v>
      </c>
      <c r="O114" s="4">
        <v>185</v>
      </c>
      <c r="P114" s="4" t="s">
        <v>388</v>
      </c>
      <c r="Q114" s="4">
        <v>1</v>
      </c>
    </row>
    <row r="115" spans="1:17" x14ac:dyDescent="0.3">
      <c r="A115" s="4">
        <v>235246</v>
      </c>
      <c r="B115" s="4" t="s">
        <v>389</v>
      </c>
      <c r="C115" s="4" t="s">
        <v>637</v>
      </c>
      <c r="D115" s="4" t="s">
        <v>635</v>
      </c>
      <c r="E115" s="4" t="s">
        <v>638</v>
      </c>
      <c r="F115" s="4">
        <v>30</v>
      </c>
      <c r="G115" s="4" t="str">
        <f t="shared" si="1"/>
        <v>adult</v>
      </c>
      <c r="H115" s="4" t="s">
        <v>965</v>
      </c>
      <c r="I115" s="4" t="s">
        <v>965</v>
      </c>
      <c r="J115" s="4">
        <v>1.8</v>
      </c>
      <c r="K115" s="4">
        <v>81.2</v>
      </c>
      <c r="L115" s="4" t="s">
        <v>59</v>
      </c>
      <c r="M115" s="4">
        <v>-48</v>
      </c>
      <c r="N115" s="4">
        <v>123</v>
      </c>
      <c r="O115" s="4">
        <v>225</v>
      </c>
      <c r="P115" s="4" t="s">
        <v>636</v>
      </c>
      <c r="Q115" s="4">
        <v>1</v>
      </c>
    </row>
    <row r="116" spans="1:17" x14ac:dyDescent="0.3">
      <c r="A116" s="4">
        <v>1095623</v>
      </c>
      <c r="B116" s="4" t="s">
        <v>740</v>
      </c>
      <c r="C116" s="4" t="s">
        <v>741</v>
      </c>
      <c r="D116" s="4" t="s">
        <v>737</v>
      </c>
      <c r="E116" s="4" t="s">
        <v>742</v>
      </c>
      <c r="F116" s="4">
        <v>38</v>
      </c>
      <c r="G116" s="4" t="str">
        <f t="shared" si="1"/>
        <v>adult</v>
      </c>
      <c r="H116" s="4" t="s">
        <v>738</v>
      </c>
      <c r="I116" s="4">
        <v>44975</v>
      </c>
      <c r="J116" s="4">
        <v>1.74</v>
      </c>
      <c r="K116" s="4">
        <v>69.900000000000006</v>
      </c>
      <c r="L116" s="4" t="s">
        <v>59</v>
      </c>
      <c r="M116" s="4">
        <v>-63</v>
      </c>
      <c r="N116" s="4">
        <v>138</v>
      </c>
      <c r="O116" s="4">
        <v>234</v>
      </c>
      <c r="P116" s="4" t="s">
        <v>739</v>
      </c>
      <c r="Q116" s="4">
        <v>1</v>
      </c>
    </row>
    <row r="117" spans="1:17" x14ac:dyDescent="0.3">
      <c r="A117" s="4">
        <v>555634</v>
      </c>
      <c r="B117" s="4" t="s">
        <v>687</v>
      </c>
      <c r="C117" s="4" t="s">
        <v>688</v>
      </c>
      <c r="D117" s="4" t="s">
        <v>684</v>
      </c>
      <c r="E117" s="4" t="s">
        <v>689</v>
      </c>
      <c r="F117" s="4">
        <v>31</v>
      </c>
      <c r="G117" s="4" t="str">
        <f t="shared" si="1"/>
        <v>adult</v>
      </c>
      <c r="H117" s="4" t="s">
        <v>685</v>
      </c>
      <c r="I117" s="4">
        <v>44649</v>
      </c>
      <c r="J117" s="4">
        <v>1.74</v>
      </c>
      <c r="K117" s="4">
        <v>72.099999999999994</v>
      </c>
      <c r="L117" s="4" t="s">
        <v>59</v>
      </c>
      <c r="M117" s="4">
        <v>-57</v>
      </c>
      <c r="N117" s="4">
        <v>132</v>
      </c>
      <c r="O117" s="4">
        <v>222</v>
      </c>
      <c r="P117" s="4" t="s">
        <v>686</v>
      </c>
      <c r="Q117" s="4">
        <v>1</v>
      </c>
    </row>
    <row r="118" spans="1:17" x14ac:dyDescent="0.3">
      <c r="A118" s="4">
        <v>53380</v>
      </c>
      <c r="B118" s="4" t="s">
        <v>911</v>
      </c>
      <c r="C118" s="4" t="s">
        <v>912</v>
      </c>
      <c r="D118" s="4" t="s">
        <v>13</v>
      </c>
      <c r="E118" s="4" t="s">
        <v>19</v>
      </c>
      <c r="F118" s="4">
        <v>55</v>
      </c>
      <c r="G118" s="4" t="str">
        <f t="shared" si="1"/>
        <v>adult</v>
      </c>
      <c r="H118" s="4" t="s">
        <v>762</v>
      </c>
      <c r="I118" s="4">
        <v>44880</v>
      </c>
      <c r="J118" s="4">
        <v>1.8</v>
      </c>
      <c r="K118" s="4">
        <v>77.099999999999994</v>
      </c>
      <c r="L118" s="4" t="s">
        <v>15</v>
      </c>
      <c r="M118" s="4">
        <v>490</v>
      </c>
      <c r="N118" s="4">
        <v>4</v>
      </c>
      <c r="O118" s="4">
        <v>551</v>
      </c>
      <c r="P118" s="4" t="s">
        <v>910</v>
      </c>
      <c r="Q118" s="4">
        <v>1</v>
      </c>
    </row>
    <row r="119" spans="1:17" x14ac:dyDescent="0.3">
      <c r="A119" s="4">
        <v>25569</v>
      </c>
      <c r="B119" s="4" t="s">
        <v>788</v>
      </c>
      <c r="C119" s="4" t="s">
        <v>789</v>
      </c>
      <c r="D119" s="4" t="s">
        <v>13</v>
      </c>
      <c r="E119" s="4" t="s">
        <v>19</v>
      </c>
      <c r="F119" s="4">
        <v>37</v>
      </c>
      <c r="G119" s="4" t="str">
        <f t="shared" si="1"/>
        <v>adult</v>
      </c>
      <c r="H119" s="4" t="s">
        <v>786</v>
      </c>
      <c r="I119" s="4">
        <v>44936</v>
      </c>
      <c r="J119" s="4">
        <v>1.77</v>
      </c>
      <c r="K119" s="4">
        <v>86.2</v>
      </c>
      <c r="L119" s="4" t="s">
        <v>754</v>
      </c>
      <c r="M119" s="4" t="s">
        <v>965</v>
      </c>
      <c r="N119" s="4" t="s">
        <v>977</v>
      </c>
      <c r="O119" s="4">
        <v>353</v>
      </c>
      <c r="P119" s="4" t="s">
        <v>787</v>
      </c>
      <c r="Q119" s="4">
        <v>1</v>
      </c>
    </row>
    <row r="120" spans="1:17" x14ac:dyDescent="0.3">
      <c r="A120" s="4">
        <v>514502</v>
      </c>
      <c r="B120" s="4" t="s">
        <v>298</v>
      </c>
      <c r="C120" s="4" t="s">
        <v>299</v>
      </c>
      <c r="D120" s="4" t="s">
        <v>295</v>
      </c>
      <c r="E120" s="4" t="s">
        <v>300</v>
      </c>
      <c r="F120" s="4">
        <v>29</v>
      </c>
      <c r="G120" s="4" t="str">
        <f t="shared" si="1"/>
        <v>adult</v>
      </c>
      <c r="H120" s="4" t="s">
        <v>296</v>
      </c>
      <c r="I120" s="4">
        <v>44713</v>
      </c>
      <c r="J120" s="4">
        <v>1.74</v>
      </c>
      <c r="K120" s="4">
        <v>81.2</v>
      </c>
      <c r="L120" s="4" t="s">
        <v>59</v>
      </c>
      <c r="M120" s="4">
        <v>34</v>
      </c>
      <c r="N120" s="4">
        <v>60</v>
      </c>
      <c r="O120" s="4">
        <v>123</v>
      </c>
      <c r="P120" s="4" t="s">
        <v>297</v>
      </c>
      <c r="Q120" s="4">
        <v>1</v>
      </c>
    </row>
    <row r="121" spans="1:17" x14ac:dyDescent="0.3">
      <c r="A121" s="4">
        <v>825700</v>
      </c>
      <c r="B121" s="4" t="s">
        <v>877</v>
      </c>
      <c r="C121" s="4" t="s">
        <v>878</v>
      </c>
      <c r="D121" s="4" t="s">
        <v>232</v>
      </c>
      <c r="E121" s="4" t="s">
        <v>237</v>
      </c>
      <c r="F121" s="4">
        <v>52</v>
      </c>
      <c r="G121" s="4" t="str">
        <f t="shared" si="1"/>
        <v>adult</v>
      </c>
      <c r="H121" s="4" t="s">
        <v>875</v>
      </c>
      <c r="I121" s="4">
        <v>44855</v>
      </c>
      <c r="J121" s="4">
        <v>1.8</v>
      </c>
      <c r="K121" s="4">
        <v>84.8</v>
      </c>
      <c r="L121" s="4" t="s">
        <v>15</v>
      </c>
      <c r="M121" s="4">
        <v>500</v>
      </c>
      <c r="N121" s="4">
        <v>5</v>
      </c>
      <c r="O121" s="4">
        <v>504</v>
      </c>
      <c r="P121" s="4" t="s">
        <v>876</v>
      </c>
      <c r="Q121" s="4">
        <v>1</v>
      </c>
    </row>
    <row r="122" spans="1:17" x14ac:dyDescent="0.3">
      <c r="A122" s="4">
        <v>123764</v>
      </c>
      <c r="B122" s="4" t="s">
        <v>72</v>
      </c>
      <c r="C122" s="4" t="s">
        <v>73</v>
      </c>
      <c r="D122" s="4" t="s">
        <v>13</v>
      </c>
      <c r="E122" s="4" t="s">
        <v>19</v>
      </c>
      <c r="F122" s="4">
        <v>28</v>
      </c>
      <c r="G122" s="4" t="str">
        <f t="shared" si="1"/>
        <v>adult</v>
      </c>
      <c r="H122" s="4" t="s">
        <v>70</v>
      </c>
      <c r="I122" s="4">
        <v>44700</v>
      </c>
      <c r="J122" s="4">
        <v>1.74</v>
      </c>
      <c r="K122" s="4">
        <v>82.6</v>
      </c>
      <c r="L122" s="4" t="s">
        <v>59</v>
      </c>
      <c r="M122" s="4">
        <v>340</v>
      </c>
      <c r="N122" s="4">
        <v>14</v>
      </c>
      <c r="O122" s="4">
        <v>113</v>
      </c>
      <c r="P122" s="4" t="s">
        <v>71</v>
      </c>
      <c r="Q122" s="4">
        <v>1</v>
      </c>
    </row>
    <row r="123" spans="1:17" x14ac:dyDescent="0.3">
      <c r="A123" s="4">
        <v>24309</v>
      </c>
      <c r="B123" s="4" t="s">
        <v>87</v>
      </c>
      <c r="C123" s="4" t="s">
        <v>968</v>
      </c>
      <c r="D123" s="4" t="s">
        <v>84</v>
      </c>
      <c r="E123" s="4" t="s">
        <v>88</v>
      </c>
      <c r="F123" s="4">
        <v>28</v>
      </c>
      <c r="G123" s="4" t="str">
        <f t="shared" si="1"/>
        <v>adult</v>
      </c>
      <c r="H123" s="4" t="s">
        <v>85</v>
      </c>
      <c r="I123" s="4">
        <v>44756</v>
      </c>
      <c r="J123" s="4">
        <v>1.83</v>
      </c>
      <c r="K123" s="4">
        <v>95.7</v>
      </c>
      <c r="L123" s="4" t="s">
        <v>59</v>
      </c>
      <c r="M123" s="4">
        <v>319</v>
      </c>
      <c r="N123" s="4">
        <v>17</v>
      </c>
      <c r="O123" s="4">
        <v>128</v>
      </c>
      <c r="P123" s="4" t="s">
        <v>86</v>
      </c>
      <c r="Q123" s="4">
        <v>1</v>
      </c>
    </row>
    <row r="124" spans="1:17" x14ac:dyDescent="0.3">
      <c r="A124" s="4">
        <v>2766</v>
      </c>
      <c r="B124" s="4" t="s">
        <v>87</v>
      </c>
      <c r="C124" s="4" t="s">
        <v>168</v>
      </c>
      <c r="D124" s="4" t="s">
        <v>46</v>
      </c>
      <c r="E124" s="4" t="s">
        <v>50</v>
      </c>
      <c r="F124" s="4">
        <v>26</v>
      </c>
      <c r="G124" s="4" t="str">
        <f t="shared" si="1"/>
        <v>adult</v>
      </c>
      <c r="H124" s="4" t="s">
        <v>166</v>
      </c>
      <c r="I124" s="4">
        <v>44725</v>
      </c>
      <c r="J124" s="4">
        <v>1.56</v>
      </c>
      <c r="K124" s="4">
        <v>90.7</v>
      </c>
      <c r="L124" s="4" t="s">
        <v>59</v>
      </c>
      <c r="M124" s="4">
        <v>191</v>
      </c>
      <c r="N124" s="4">
        <v>34</v>
      </c>
      <c r="O124" s="4">
        <v>307</v>
      </c>
      <c r="P124" s="4" t="s">
        <v>167</v>
      </c>
      <c r="Q124" s="4">
        <v>1</v>
      </c>
    </row>
    <row r="125" spans="1:17" x14ac:dyDescent="0.3">
      <c r="A125" s="4">
        <v>221436</v>
      </c>
      <c r="B125" s="4" t="s">
        <v>257</v>
      </c>
      <c r="C125" s="4" t="s">
        <v>258</v>
      </c>
      <c r="D125" s="4" t="s">
        <v>254</v>
      </c>
      <c r="E125" s="4" t="s">
        <v>259</v>
      </c>
      <c r="F125" s="4">
        <v>29</v>
      </c>
      <c r="G125" s="4" t="str">
        <f t="shared" si="1"/>
        <v>adult</v>
      </c>
      <c r="H125" s="4" t="s">
        <v>255</v>
      </c>
      <c r="I125" s="4">
        <v>44672</v>
      </c>
      <c r="J125" s="4">
        <v>1.8</v>
      </c>
      <c r="K125" s="4">
        <v>88</v>
      </c>
      <c r="L125" s="4" t="s">
        <v>59</v>
      </c>
      <c r="M125" s="4">
        <v>48</v>
      </c>
      <c r="N125" s="4">
        <v>53</v>
      </c>
      <c r="O125" s="4">
        <v>138</v>
      </c>
      <c r="P125" s="4" t="s">
        <v>256</v>
      </c>
      <c r="Q125" s="4">
        <v>1</v>
      </c>
    </row>
    <row r="126" spans="1:17" x14ac:dyDescent="0.3">
      <c r="A126" s="4">
        <v>1129621</v>
      </c>
      <c r="B126" s="4" t="s">
        <v>597</v>
      </c>
      <c r="C126" s="4" t="s">
        <v>598</v>
      </c>
      <c r="D126" s="4" t="s">
        <v>594</v>
      </c>
      <c r="E126" s="4" t="s">
        <v>599</v>
      </c>
      <c r="F126" s="4">
        <v>29</v>
      </c>
      <c r="G126" s="4" t="str">
        <f t="shared" si="1"/>
        <v>adult</v>
      </c>
      <c r="H126" s="4" t="s">
        <v>595</v>
      </c>
      <c r="I126" s="4">
        <v>44650</v>
      </c>
      <c r="J126" s="4">
        <v>1.77</v>
      </c>
      <c r="K126" s="4">
        <v>69.900000000000006</v>
      </c>
      <c r="L126" s="4" t="s">
        <v>59</v>
      </c>
      <c r="M126" s="4">
        <v>-41</v>
      </c>
      <c r="N126" s="4">
        <v>116</v>
      </c>
      <c r="O126" s="4">
        <v>209</v>
      </c>
      <c r="P126" s="4" t="s">
        <v>596</v>
      </c>
      <c r="Q126" s="4">
        <v>1</v>
      </c>
    </row>
    <row r="127" spans="1:17" x14ac:dyDescent="0.3">
      <c r="A127" s="4">
        <v>1697328</v>
      </c>
      <c r="B127" s="4" t="s">
        <v>286</v>
      </c>
      <c r="C127" s="4" t="s">
        <v>287</v>
      </c>
      <c r="D127" s="4" t="s">
        <v>283</v>
      </c>
      <c r="E127" s="4" t="s">
        <v>288</v>
      </c>
      <c r="F127" s="4">
        <v>26</v>
      </c>
      <c r="G127" s="4" t="str">
        <f t="shared" si="1"/>
        <v>adult</v>
      </c>
      <c r="H127" s="4" t="s">
        <v>284</v>
      </c>
      <c r="I127" s="4">
        <v>44596</v>
      </c>
      <c r="J127" s="4">
        <v>1.8</v>
      </c>
      <c r="K127" s="4">
        <v>88</v>
      </c>
      <c r="L127" s="4" t="s">
        <v>59</v>
      </c>
      <c r="M127" s="4">
        <v>40</v>
      </c>
      <c r="N127" s="4">
        <v>58</v>
      </c>
      <c r="O127" s="4">
        <v>158</v>
      </c>
      <c r="P127" s="4" t="s">
        <v>285</v>
      </c>
      <c r="Q127" s="4">
        <v>1</v>
      </c>
    </row>
    <row r="128" spans="1:17" x14ac:dyDescent="0.3">
      <c r="A128" s="4">
        <v>297397</v>
      </c>
      <c r="B128" s="4" t="s">
        <v>507</v>
      </c>
      <c r="C128" s="4" t="s">
        <v>508</v>
      </c>
      <c r="D128" s="4" t="s">
        <v>505</v>
      </c>
      <c r="E128" s="4" t="s">
        <v>509</v>
      </c>
      <c r="F128" s="4">
        <v>28</v>
      </c>
      <c r="G128" s="4" t="str">
        <f t="shared" si="1"/>
        <v>adult</v>
      </c>
      <c r="H128" s="4" t="s">
        <v>506</v>
      </c>
      <c r="I128" s="4">
        <v>44695</v>
      </c>
      <c r="J128" s="4">
        <v>1.74</v>
      </c>
      <c r="K128" s="4">
        <v>81.2</v>
      </c>
      <c r="L128" s="4" t="s">
        <v>59</v>
      </c>
      <c r="M128" s="4">
        <v>-24</v>
      </c>
      <c r="N128" s="4">
        <v>99</v>
      </c>
      <c r="O128" s="4">
        <v>191</v>
      </c>
      <c r="P128" s="4" t="s">
        <v>225</v>
      </c>
      <c r="Q128" s="4">
        <v>1</v>
      </c>
    </row>
    <row r="129" spans="1:17" x14ac:dyDescent="0.3">
      <c r="A129" s="4">
        <v>1402559</v>
      </c>
      <c r="B129" s="4" t="s">
        <v>496</v>
      </c>
      <c r="C129" s="4" t="s">
        <v>497</v>
      </c>
      <c r="D129" s="4" t="s">
        <v>493</v>
      </c>
      <c r="E129" s="4" t="s">
        <v>498</v>
      </c>
      <c r="F129" s="4">
        <v>30</v>
      </c>
      <c r="G129" s="4" t="str">
        <f t="shared" si="1"/>
        <v>adult</v>
      </c>
      <c r="H129" s="4" t="s">
        <v>494</v>
      </c>
      <c r="I129" s="4">
        <v>44681</v>
      </c>
      <c r="J129" s="4">
        <v>1.86</v>
      </c>
      <c r="K129" s="4">
        <v>96.2</v>
      </c>
      <c r="L129" s="4" t="s">
        <v>59</v>
      </c>
      <c r="M129" s="4">
        <v>-22</v>
      </c>
      <c r="N129" s="4">
        <v>97</v>
      </c>
      <c r="O129" s="4">
        <v>195</v>
      </c>
      <c r="P129" s="4" t="s">
        <v>495</v>
      </c>
      <c r="Q129" s="4">
        <v>1</v>
      </c>
    </row>
    <row r="130" spans="1:17" x14ac:dyDescent="0.3">
      <c r="A130" s="4">
        <v>241233</v>
      </c>
      <c r="B130" s="4" t="s">
        <v>896</v>
      </c>
      <c r="C130" s="4" t="s">
        <v>897</v>
      </c>
      <c r="D130" s="4" t="s">
        <v>13</v>
      </c>
      <c r="E130" s="4" t="s">
        <v>19</v>
      </c>
      <c r="F130" s="4">
        <v>52</v>
      </c>
      <c r="G130" s="4" t="str">
        <f t="shared" si="1"/>
        <v>adult</v>
      </c>
      <c r="H130" s="4" t="s">
        <v>894</v>
      </c>
      <c r="I130" s="4">
        <v>44945</v>
      </c>
      <c r="J130" s="4">
        <v>1.83</v>
      </c>
      <c r="K130" s="4">
        <v>102.1</v>
      </c>
      <c r="L130" s="4" t="s">
        <v>754</v>
      </c>
      <c r="M130" s="4">
        <v>140</v>
      </c>
      <c r="N130" s="4">
        <v>10</v>
      </c>
      <c r="O130" s="4">
        <v>510</v>
      </c>
      <c r="P130" s="4" t="s">
        <v>895</v>
      </c>
      <c r="Q130" s="4">
        <v>1</v>
      </c>
    </row>
    <row r="131" spans="1:17" x14ac:dyDescent="0.3">
      <c r="A131" s="4">
        <v>286311</v>
      </c>
      <c r="B131" s="4" t="s">
        <v>268</v>
      </c>
      <c r="C131" s="4" t="s">
        <v>269</v>
      </c>
      <c r="D131" s="4" t="s">
        <v>266</v>
      </c>
      <c r="E131" s="4" t="s">
        <v>270</v>
      </c>
      <c r="F131" s="4">
        <v>33</v>
      </c>
      <c r="G131" s="4" t="str">
        <f t="shared" ref="G131:G194" si="2">IF(F131&lt;18,"teen","adult")</f>
        <v>adult</v>
      </c>
      <c r="H131" s="4" t="s">
        <v>965</v>
      </c>
      <c r="I131" s="4" t="s">
        <v>965</v>
      </c>
      <c r="J131" s="4">
        <v>1.8</v>
      </c>
      <c r="K131" s="4">
        <v>88</v>
      </c>
      <c r="L131" s="4" t="s">
        <v>59</v>
      </c>
      <c r="M131" s="4">
        <v>46</v>
      </c>
      <c r="N131" s="4">
        <v>55</v>
      </c>
      <c r="O131" s="4">
        <v>159</v>
      </c>
      <c r="P131" s="4" t="s">
        <v>267</v>
      </c>
      <c r="Q131" s="4">
        <v>1</v>
      </c>
    </row>
    <row r="132" spans="1:17" x14ac:dyDescent="0.3">
      <c r="A132" s="4">
        <v>844066</v>
      </c>
      <c r="B132" s="4" t="s">
        <v>377</v>
      </c>
      <c r="C132" s="4" t="s">
        <v>378</v>
      </c>
      <c r="D132" s="4" t="s">
        <v>375</v>
      </c>
      <c r="E132" s="4" t="s">
        <v>379</v>
      </c>
      <c r="F132" s="4">
        <v>28</v>
      </c>
      <c r="G132" s="4" t="str">
        <f t="shared" si="2"/>
        <v>adult</v>
      </c>
      <c r="H132" s="4" t="s">
        <v>965</v>
      </c>
      <c r="I132" s="4" t="s">
        <v>965</v>
      </c>
      <c r="J132" s="4">
        <v>1.77</v>
      </c>
      <c r="K132" s="4">
        <v>76.2</v>
      </c>
      <c r="L132" s="4" t="s">
        <v>59</v>
      </c>
      <c r="M132" s="4">
        <v>3</v>
      </c>
      <c r="N132" s="4">
        <v>75</v>
      </c>
      <c r="O132" s="4">
        <v>196</v>
      </c>
      <c r="P132" s="4" t="s">
        <v>376</v>
      </c>
      <c r="Q132" s="4">
        <v>1</v>
      </c>
    </row>
    <row r="133" spans="1:17" x14ac:dyDescent="0.3">
      <c r="A133" s="4">
        <v>153604</v>
      </c>
      <c r="B133" s="4" t="s">
        <v>17</v>
      </c>
      <c r="C133" s="4" t="s">
        <v>18</v>
      </c>
      <c r="D133" s="4" t="s">
        <v>13</v>
      </c>
      <c r="E133" s="4" t="s">
        <v>19</v>
      </c>
      <c r="F133" s="4">
        <v>29</v>
      </c>
      <c r="G133" s="4" t="str">
        <f t="shared" si="2"/>
        <v>adult</v>
      </c>
      <c r="H133" s="4" t="s">
        <v>14</v>
      </c>
      <c r="I133" s="4">
        <v>44632</v>
      </c>
      <c r="J133" s="4">
        <v>1.74</v>
      </c>
      <c r="K133" s="4">
        <v>88.5</v>
      </c>
      <c r="L133" s="4" t="s">
        <v>15</v>
      </c>
      <c r="M133" s="4">
        <v>984</v>
      </c>
      <c r="N133" s="4">
        <v>1</v>
      </c>
      <c r="O133" s="4">
        <v>16</v>
      </c>
      <c r="P133" s="4" t="s">
        <v>16</v>
      </c>
      <c r="Q133" s="4">
        <v>1</v>
      </c>
    </row>
    <row r="134" spans="1:17" x14ac:dyDescent="0.3">
      <c r="A134" s="4">
        <v>660204</v>
      </c>
      <c r="B134" s="4" t="s">
        <v>44</v>
      </c>
      <c r="C134" s="4" t="s">
        <v>45</v>
      </c>
      <c r="D134" s="4" t="s">
        <v>32</v>
      </c>
      <c r="E134" s="4" t="s">
        <v>37</v>
      </c>
      <c r="F134" s="4">
        <v>26</v>
      </c>
      <c r="G134" s="4" t="str">
        <f t="shared" si="2"/>
        <v>adult</v>
      </c>
      <c r="H134" s="4" t="s">
        <v>42</v>
      </c>
      <c r="I134" s="4">
        <v>44805</v>
      </c>
      <c r="J134" s="4">
        <v>1.71</v>
      </c>
      <c r="K134" s="4">
        <v>82.1</v>
      </c>
      <c r="L134" s="4" t="s">
        <v>15</v>
      </c>
      <c r="M134" s="4">
        <v>671</v>
      </c>
      <c r="N134" s="4">
        <v>7</v>
      </c>
      <c r="O134" s="4">
        <v>311</v>
      </c>
      <c r="P134" s="4" t="s">
        <v>43</v>
      </c>
      <c r="Q134" s="4">
        <v>1</v>
      </c>
    </row>
    <row r="135" spans="1:17" x14ac:dyDescent="0.3">
      <c r="A135" s="4">
        <v>227027</v>
      </c>
      <c r="B135" s="4" t="s">
        <v>558</v>
      </c>
      <c r="C135" s="4" t="s">
        <v>559</v>
      </c>
      <c r="D135" s="4" t="s">
        <v>555</v>
      </c>
      <c r="E135" s="4" t="s">
        <v>560</v>
      </c>
      <c r="F135" s="4">
        <v>28</v>
      </c>
      <c r="G135" s="4" t="str">
        <f t="shared" si="2"/>
        <v>adult</v>
      </c>
      <c r="H135" s="4" t="s">
        <v>556</v>
      </c>
      <c r="I135" s="4">
        <v>44620</v>
      </c>
      <c r="J135" s="4">
        <v>1.74</v>
      </c>
      <c r="K135" s="4">
        <v>80.7</v>
      </c>
      <c r="L135" s="4" t="s">
        <v>59</v>
      </c>
      <c r="M135" s="4">
        <v>-34</v>
      </c>
      <c r="N135" s="4">
        <v>109</v>
      </c>
      <c r="O135" s="4">
        <v>197</v>
      </c>
      <c r="P135" s="4" t="s">
        <v>557</v>
      </c>
      <c r="Q135" s="4">
        <v>1</v>
      </c>
    </row>
    <row r="136" spans="1:17" x14ac:dyDescent="0.3">
      <c r="A136" s="4">
        <v>461734</v>
      </c>
      <c r="B136" s="4" t="s">
        <v>132</v>
      </c>
      <c r="C136" s="4" t="s">
        <v>77</v>
      </c>
      <c r="D136" s="4" t="s">
        <v>129</v>
      </c>
      <c r="E136" s="4" t="s">
        <v>133</v>
      </c>
      <c r="F136" s="4">
        <v>27</v>
      </c>
      <c r="G136" s="4" t="str">
        <f t="shared" si="2"/>
        <v>adult</v>
      </c>
      <c r="H136" s="4" t="s">
        <v>130</v>
      </c>
      <c r="I136" s="4">
        <v>44676</v>
      </c>
      <c r="J136" s="4">
        <v>1.83</v>
      </c>
      <c r="K136" s="4">
        <v>95.3</v>
      </c>
      <c r="L136" s="4" t="s">
        <v>59</v>
      </c>
      <c r="M136" s="4">
        <v>224</v>
      </c>
      <c r="N136" s="4">
        <v>26</v>
      </c>
      <c r="O136" s="4">
        <v>146</v>
      </c>
      <c r="P136" s="4" t="s">
        <v>131</v>
      </c>
      <c r="Q136" s="4">
        <v>1</v>
      </c>
    </row>
    <row r="137" spans="1:17" x14ac:dyDescent="0.3">
      <c r="A137" s="4">
        <v>255163</v>
      </c>
      <c r="B137" s="4" t="s">
        <v>132</v>
      </c>
      <c r="C137" s="4" t="s">
        <v>773</v>
      </c>
      <c r="D137" s="4" t="s">
        <v>78</v>
      </c>
      <c r="E137" s="4" t="s">
        <v>83</v>
      </c>
      <c r="F137" s="4">
        <v>37</v>
      </c>
      <c r="G137" s="4" t="str">
        <f t="shared" si="2"/>
        <v>adult</v>
      </c>
      <c r="H137" s="4" t="s">
        <v>771</v>
      </c>
      <c r="I137" s="4">
        <v>44842</v>
      </c>
      <c r="J137" s="4">
        <v>0.15</v>
      </c>
      <c r="K137" s="4">
        <v>88.5</v>
      </c>
      <c r="L137" s="4" t="s">
        <v>15</v>
      </c>
      <c r="M137" s="4">
        <v>500</v>
      </c>
      <c r="N137" s="4">
        <v>5</v>
      </c>
      <c r="O137" s="4">
        <v>356</v>
      </c>
      <c r="P137" s="4" t="s">
        <v>772</v>
      </c>
      <c r="Q137" s="4">
        <v>1</v>
      </c>
    </row>
    <row r="138" spans="1:17" x14ac:dyDescent="0.3">
      <c r="A138" s="4">
        <v>464020</v>
      </c>
      <c r="B138" s="4" t="s">
        <v>132</v>
      </c>
      <c r="C138" s="4" t="s">
        <v>544</v>
      </c>
      <c r="D138" s="4" t="s">
        <v>13</v>
      </c>
      <c r="E138" s="4" t="s">
        <v>19</v>
      </c>
      <c r="F138" s="4">
        <v>61</v>
      </c>
      <c r="G138" s="4" t="str">
        <f t="shared" si="2"/>
        <v>adult</v>
      </c>
      <c r="H138" s="4" t="s">
        <v>948</v>
      </c>
      <c r="I138" s="4">
        <v>44853</v>
      </c>
      <c r="J138" s="4">
        <v>1.55</v>
      </c>
      <c r="K138" s="4">
        <v>81.599999999999994</v>
      </c>
      <c r="L138" s="4" t="s">
        <v>15</v>
      </c>
      <c r="M138" s="4">
        <v>340</v>
      </c>
      <c r="N138" s="4">
        <v>7</v>
      </c>
      <c r="O138" s="4">
        <v>608</v>
      </c>
      <c r="P138" s="4" t="s">
        <v>949</v>
      </c>
      <c r="Q138" s="4">
        <v>1</v>
      </c>
    </row>
    <row r="139" spans="1:17" x14ac:dyDescent="0.3">
      <c r="A139" s="4">
        <v>733576</v>
      </c>
      <c r="B139" s="4" t="s">
        <v>462</v>
      </c>
      <c r="C139" s="4" t="s">
        <v>463</v>
      </c>
      <c r="D139" s="4" t="s">
        <v>459</v>
      </c>
      <c r="E139" s="4" t="s">
        <v>464</v>
      </c>
      <c r="F139" s="4">
        <v>24</v>
      </c>
      <c r="G139" s="4" t="str">
        <f t="shared" si="2"/>
        <v>adult</v>
      </c>
      <c r="H139" s="4" t="s">
        <v>460</v>
      </c>
      <c r="I139" s="4">
        <v>44685</v>
      </c>
      <c r="J139" s="4">
        <v>1.56</v>
      </c>
      <c r="K139" s="4">
        <v>83</v>
      </c>
      <c r="L139" s="4" t="s">
        <v>59</v>
      </c>
      <c r="M139" s="4">
        <v>-16</v>
      </c>
      <c r="N139" s="4">
        <v>91</v>
      </c>
      <c r="O139" s="4">
        <v>200</v>
      </c>
      <c r="P139" s="4" t="s">
        <v>461</v>
      </c>
      <c r="Q139" s="4">
        <v>1</v>
      </c>
    </row>
    <row r="140" spans="1:17" x14ac:dyDescent="0.3">
      <c r="A140" s="4">
        <v>100797</v>
      </c>
      <c r="B140" s="4" t="s">
        <v>782</v>
      </c>
      <c r="C140" s="4" t="s">
        <v>783</v>
      </c>
      <c r="D140" s="4" t="s">
        <v>13</v>
      </c>
      <c r="E140" s="4" t="s">
        <v>19</v>
      </c>
      <c r="F140" s="4">
        <v>35</v>
      </c>
      <c r="G140" s="4" t="str">
        <f t="shared" si="2"/>
        <v>adult</v>
      </c>
      <c r="H140" s="4" t="s">
        <v>780</v>
      </c>
      <c r="I140" s="4">
        <v>44946</v>
      </c>
      <c r="J140" s="4">
        <v>1.65</v>
      </c>
      <c r="K140" s="4">
        <v>70.3</v>
      </c>
      <c r="L140" s="4" t="s">
        <v>15</v>
      </c>
      <c r="M140" s="4">
        <v>380</v>
      </c>
      <c r="N140" s="4">
        <v>8</v>
      </c>
      <c r="O140" s="4">
        <v>360</v>
      </c>
      <c r="P140" s="4" t="s">
        <v>781</v>
      </c>
      <c r="Q140" s="4">
        <v>1</v>
      </c>
    </row>
    <row r="141" spans="1:17" x14ac:dyDescent="0.3">
      <c r="A141" s="4">
        <v>17714</v>
      </c>
      <c r="B141" s="4" t="s">
        <v>782</v>
      </c>
      <c r="C141" s="4" t="s">
        <v>846</v>
      </c>
      <c r="D141" s="4" t="s">
        <v>13</v>
      </c>
      <c r="E141" s="4" t="s">
        <v>19</v>
      </c>
      <c r="F141" s="4">
        <v>45</v>
      </c>
      <c r="G141" s="4" t="str">
        <f t="shared" si="2"/>
        <v>adult</v>
      </c>
      <c r="H141" s="4" t="s">
        <v>844</v>
      </c>
      <c r="I141" s="4">
        <v>44858</v>
      </c>
      <c r="J141" s="4">
        <v>1.77</v>
      </c>
      <c r="K141" s="4">
        <v>81.599999999999994</v>
      </c>
      <c r="L141" s="4" t="s">
        <v>15</v>
      </c>
      <c r="M141" s="4">
        <v>400</v>
      </c>
      <c r="N141" s="4">
        <v>6</v>
      </c>
      <c r="O141" s="4">
        <v>452</v>
      </c>
      <c r="P141" s="4" t="s">
        <v>845</v>
      </c>
      <c r="Q141" s="4">
        <v>1</v>
      </c>
    </row>
    <row r="142" spans="1:17" x14ac:dyDescent="0.3">
      <c r="A142" s="4">
        <v>1523543</v>
      </c>
      <c r="B142" s="4" t="s">
        <v>658</v>
      </c>
      <c r="C142" s="4" t="s">
        <v>659</v>
      </c>
      <c r="D142" s="4" t="s">
        <v>655</v>
      </c>
      <c r="E142" s="4" t="s">
        <v>660</v>
      </c>
      <c r="F142" s="4">
        <v>39</v>
      </c>
      <c r="G142" s="4" t="str">
        <f t="shared" si="2"/>
        <v>adult</v>
      </c>
      <c r="H142" s="4" t="s">
        <v>656</v>
      </c>
      <c r="I142" s="4">
        <v>44750</v>
      </c>
      <c r="J142" s="4">
        <v>1.77</v>
      </c>
      <c r="K142" s="4">
        <v>76.2</v>
      </c>
      <c r="L142" s="4" t="s">
        <v>59</v>
      </c>
      <c r="M142" s="4">
        <v>-52</v>
      </c>
      <c r="N142" s="4">
        <v>127</v>
      </c>
      <c r="O142" s="4">
        <v>229</v>
      </c>
      <c r="P142" s="4" t="s">
        <v>657</v>
      </c>
      <c r="Q142" s="4">
        <v>1</v>
      </c>
    </row>
    <row r="143" spans="1:17" x14ac:dyDescent="0.3">
      <c r="A143" s="4">
        <v>487949</v>
      </c>
      <c r="B143" s="4" t="s">
        <v>212</v>
      </c>
      <c r="C143" s="4" t="s">
        <v>213</v>
      </c>
      <c r="D143" s="4" t="s">
        <v>209</v>
      </c>
      <c r="E143" s="4" t="s">
        <v>214</v>
      </c>
      <c r="F143" s="4">
        <v>31</v>
      </c>
      <c r="G143" s="4" t="str">
        <f t="shared" si="2"/>
        <v>adult</v>
      </c>
      <c r="H143" s="4" t="s">
        <v>210</v>
      </c>
      <c r="I143" s="4">
        <v>44623</v>
      </c>
      <c r="J143" s="4">
        <v>1.56</v>
      </c>
      <c r="K143" s="4">
        <v>92.1</v>
      </c>
      <c r="L143" s="4" t="s">
        <v>59</v>
      </c>
      <c r="M143" s="4">
        <v>100</v>
      </c>
      <c r="N143" s="4">
        <v>44</v>
      </c>
      <c r="O143" s="4">
        <v>173</v>
      </c>
      <c r="P143" s="4" t="s">
        <v>211</v>
      </c>
      <c r="Q143" s="4">
        <v>1</v>
      </c>
    </row>
    <row r="144" spans="1:17" x14ac:dyDescent="0.3">
      <c r="A144" s="4">
        <v>523439</v>
      </c>
      <c r="B144" s="4" t="s">
        <v>579</v>
      </c>
      <c r="C144" s="4" t="s">
        <v>580</v>
      </c>
      <c r="D144" s="4" t="s">
        <v>577</v>
      </c>
      <c r="E144" s="4" t="s">
        <v>581</v>
      </c>
      <c r="F144" s="4">
        <v>29</v>
      </c>
      <c r="G144" s="4" t="str">
        <f t="shared" si="2"/>
        <v>adult</v>
      </c>
      <c r="H144" s="4" t="s">
        <v>381</v>
      </c>
      <c r="I144" s="4">
        <v>44736</v>
      </c>
      <c r="J144" s="4">
        <v>1.8</v>
      </c>
      <c r="K144" s="4">
        <v>79.8</v>
      </c>
      <c r="L144" s="4" t="s">
        <v>59</v>
      </c>
      <c r="M144" s="4">
        <v>-38</v>
      </c>
      <c r="N144" s="4">
        <v>113</v>
      </c>
      <c r="O144" s="4">
        <v>194</v>
      </c>
      <c r="P144" s="4" t="s">
        <v>578</v>
      </c>
      <c r="Q144" s="4">
        <v>1</v>
      </c>
    </row>
    <row r="145" spans="1:17" x14ac:dyDescent="0.3">
      <c r="A145" s="4">
        <v>54259</v>
      </c>
      <c r="B145" s="4" t="s">
        <v>646</v>
      </c>
      <c r="C145" s="4" t="s">
        <v>647</v>
      </c>
      <c r="D145" s="4" t="s">
        <v>644</v>
      </c>
      <c r="E145" s="4" t="s">
        <v>648</v>
      </c>
      <c r="F145" s="4">
        <v>29</v>
      </c>
      <c r="G145" s="4" t="str">
        <f t="shared" si="2"/>
        <v>adult</v>
      </c>
      <c r="H145" s="4" t="s">
        <v>645</v>
      </c>
      <c r="I145" s="4">
        <v>44757</v>
      </c>
      <c r="J145" s="4">
        <v>1.55</v>
      </c>
      <c r="K145" s="4">
        <v>83.9</v>
      </c>
      <c r="L145" s="4" t="s">
        <v>59</v>
      </c>
      <c r="M145" s="4">
        <v>-50</v>
      </c>
      <c r="N145" s="4">
        <v>125</v>
      </c>
      <c r="O145" s="4">
        <v>223</v>
      </c>
      <c r="P145" s="4" t="s">
        <v>225</v>
      </c>
      <c r="Q145" s="4">
        <v>1</v>
      </c>
    </row>
    <row r="146" spans="1:17" x14ac:dyDescent="0.3">
      <c r="A146" s="4">
        <v>5312</v>
      </c>
      <c r="B146" s="4" t="s">
        <v>760</v>
      </c>
      <c r="C146" s="4" t="s">
        <v>761</v>
      </c>
      <c r="D146" s="4" t="s">
        <v>13</v>
      </c>
      <c r="E146" s="4" t="s">
        <v>19</v>
      </c>
      <c r="F146" s="4">
        <v>35</v>
      </c>
      <c r="G146" s="4" t="str">
        <f t="shared" si="2"/>
        <v>adult</v>
      </c>
      <c r="H146" s="4" t="s">
        <v>758</v>
      </c>
      <c r="I146" s="4">
        <v>44852</v>
      </c>
      <c r="J146" s="4">
        <v>1.55</v>
      </c>
      <c r="K146" s="4">
        <v>87.1</v>
      </c>
      <c r="L146" s="4" t="s">
        <v>15</v>
      </c>
      <c r="M146" s="4">
        <v>650</v>
      </c>
      <c r="N146" s="4">
        <v>1</v>
      </c>
      <c r="O146" s="4">
        <v>351</v>
      </c>
      <c r="P146" s="4" t="s">
        <v>759</v>
      </c>
      <c r="Q146" s="4">
        <v>1</v>
      </c>
    </row>
    <row r="147" spans="1:17" x14ac:dyDescent="0.3">
      <c r="A147" s="4">
        <v>8325</v>
      </c>
      <c r="B147" s="4" t="s">
        <v>196</v>
      </c>
      <c r="C147" s="4" t="s">
        <v>197</v>
      </c>
      <c r="D147" s="4" t="s">
        <v>13</v>
      </c>
      <c r="E147" s="4" t="s">
        <v>19</v>
      </c>
      <c r="F147" s="4">
        <v>33</v>
      </c>
      <c r="G147" s="4" t="str">
        <f t="shared" si="2"/>
        <v>adult</v>
      </c>
      <c r="H147" s="4" t="s">
        <v>194</v>
      </c>
      <c r="I147" s="4">
        <v>44948</v>
      </c>
      <c r="J147" s="4">
        <v>1.83</v>
      </c>
      <c r="K147" s="4">
        <v>95.3</v>
      </c>
      <c r="L147" s="4" t="s">
        <v>59</v>
      </c>
      <c r="M147" s="4">
        <v>116</v>
      </c>
      <c r="N147" s="4">
        <v>41</v>
      </c>
      <c r="O147" s="4">
        <v>314</v>
      </c>
      <c r="P147" s="4" t="s">
        <v>195</v>
      </c>
      <c r="Q147" s="4">
        <v>1</v>
      </c>
    </row>
    <row r="148" spans="1:17" x14ac:dyDescent="0.3">
      <c r="A148" s="4">
        <v>542883</v>
      </c>
      <c r="B148" s="4" t="s">
        <v>191</v>
      </c>
      <c r="C148" s="4" t="s">
        <v>192</v>
      </c>
      <c r="D148" s="4" t="s">
        <v>188</v>
      </c>
      <c r="E148" s="4" t="s">
        <v>193</v>
      </c>
      <c r="F148" s="4">
        <v>29</v>
      </c>
      <c r="G148" s="4" t="str">
        <f t="shared" si="2"/>
        <v>adult</v>
      </c>
      <c r="H148" s="4" t="s">
        <v>189</v>
      </c>
      <c r="I148" s="4">
        <v>44702</v>
      </c>
      <c r="J148" s="4">
        <v>1.83</v>
      </c>
      <c r="K148" s="4">
        <v>92.1</v>
      </c>
      <c r="L148" s="4" t="s">
        <v>59</v>
      </c>
      <c r="M148" s="4">
        <v>154</v>
      </c>
      <c r="N148" s="4">
        <v>40</v>
      </c>
      <c r="O148" s="4">
        <v>152</v>
      </c>
      <c r="P148" s="4" t="s">
        <v>190</v>
      </c>
      <c r="Q148" s="4">
        <v>1</v>
      </c>
    </row>
    <row r="149" spans="1:17" x14ac:dyDescent="0.3">
      <c r="A149" s="4">
        <v>675164</v>
      </c>
      <c r="B149" s="4" t="s">
        <v>528</v>
      </c>
      <c r="C149" s="4" t="s">
        <v>529</v>
      </c>
      <c r="D149" s="4" t="s">
        <v>525</v>
      </c>
      <c r="E149" s="4" t="s">
        <v>530</v>
      </c>
      <c r="F149" s="4">
        <v>26</v>
      </c>
      <c r="G149" s="4" t="str">
        <f t="shared" si="2"/>
        <v>adult</v>
      </c>
      <c r="H149" s="4" t="s">
        <v>526</v>
      </c>
      <c r="I149" s="4">
        <v>44715</v>
      </c>
      <c r="J149" s="4">
        <v>1.55</v>
      </c>
      <c r="K149" s="4">
        <v>92.1</v>
      </c>
      <c r="L149" s="4" t="s">
        <v>59</v>
      </c>
      <c r="M149" s="4">
        <v>-28</v>
      </c>
      <c r="N149" s="4">
        <v>103</v>
      </c>
      <c r="O149" s="4">
        <v>157</v>
      </c>
      <c r="P149" s="4" t="s">
        <v>527</v>
      </c>
      <c r="Q149" s="4">
        <v>1</v>
      </c>
    </row>
    <row r="150" spans="1:17" x14ac:dyDescent="0.3">
      <c r="A150" s="4">
        <v>2725</v>
      </c>
      <c r="B150" s="4" t="s">
        <v>22</v>
      </c>
      <c r="C150" s="4" t="s">
        <v>23</v>
      </c>
      <c r="D150" s="4" t="s">
        <v>13</v>
      </c>
      <c r="E150" s="4" t="s">
        <v>19</v>
      </c>
      <c r="F150" s="4">
        <v>28</v>
      </c>
      <c r="G150" s="4" t="str">
        <f t="shared" si="2"/>
        <v>adult</v>
      </c>
      <c r="H150" s="4" t="s">
        <v>20</v>
      </c>
      <c r="I150" s="4">
        <v>44800</v>
      </c>
      <c r="J150" s="4">
        <v>1.74</v>
      </c>
      <c r="K150" s="4">
        <v>86.2</v>
      </c>
      <c r="L150" s="4" t="s">
        <v>15</v>
      </c>
      <c r="M150" s="4">
        <v>949</v>
      </c>
      <c r="N150" s="4">
        <v>2</v>
      </c>
      <c r="O150" s="4">
        <v>302</v>
      </c>
      <c r="P150" s="4" t="s">
        <v>21</v>
      </c>
      <c r="Q150" s="4">
        <v>1</v>
      </c>
    </row>
    <row r="151" spans="1:17" x14ac:dyDescent="0.3">
      <c r="A151" s="4">
        <v>29109</v>
      </c>
      <c r="B151" s="4" t="s">
        <v>805</v>
      </c>
      <c r="C151" s="4" t="s">
        <v>806</v>
      </c>
      <c r="D151" s="4" t="s">
        <v>13</v>
      </c>
      <c r="E151" s="4" t="s">
        <v>19</v>
      </c>
      <c r="F151" s="4">
        <v>40</v>
      </c>
      <c r="G151" s="4" t="str">
        <f t="shared" si="2"/>
        <v>adult</v>
      </c>
      <c r="H151" s="4" t="s">
        <v>181</v>
      </c>
      <c r="I151" s="4">
        <v>44591</v>
      </c>
      <c r="J151" s="4">
        <v>1.8</v>
      </c>
      <c r="K151" s="4">
        <v>77.099999999999994</v>
      </c>
      <c r="L151" s="4" t="s">
        <v>15</v>
      </c>
      <c r="M151" s="4">
        <v>420</v>
      </c>
      <c r="N151" s="4">
        <v>5</v>
      </c>
      <c r="O151" s="4">
        <v>405</v>
      </c>
      <c r="P151" s="4" t="s">
        <v>804</v>
      </c>
      <c r="Q151" s="4">
        <v>1</v>
      </c>
    </row>
    <row r="152" spans="1:17" x14ac:dyDescent="0.3">
      <c r="A152" s="4">
        <v>470906</v>
      </c>
      <c r="B152" s="4" t="s">
        <v>357</v>
      </c>
      <c r="C152" s="4" t="s">
        <v>358</v>
      </c>
      <c r="D152" s="4" t="s">
        <v>354</v>
      </c>
      <c r="E152" s="4" t="s">
        <v>359</v>
      </c>
      <c r="F152" s="4">
        <v>29</v>
      </c>
      <c r="G152" s="4" t="str">
        <f t="shared" si="2"/>
        <v>adult</v>
      </c>
      <c r="H152" s="4" t="s">
        <v>355</v>
      </c>
      <c r="I152" s="4">
        <v>44643</v>
      </c>
      <c r="J152" s="4">
        <v>1.83</v>
      </c>
      <c r="K152" s="4">
        <v>88.9</v>
      </c>
      <c r="L152" s="4" t="s">
        <v>59</v>
      </c>
      <c r="M152" s="4">
        <v>18</v>
      </c>
      <c r="N152" s="4">
        <v>71</v>
      </c>
      <c r="O152" s="4">
        <v>154</v>
      </c>
      <c r="P152" s="4" t="s">
        <v>356</v>
      </c>
      <c r="Q152" s="4">
        <v>1</v>
      </c>
    </row>
    <row r="153" spans="1:17" x14ac:dyDescent="0.3">
      <c r="A153" s="4">
        <v>270266</v>
      </c>
      <c r="B153" s="4" t="s">
        <v>334</v>
      </c>
      <c r="C153" s="4" t="s">
        <v>335</v>
      </c>
      <c r="D153" s="4" t="s">
        <v>331</v>
      </c>
      <c r="E153" s="4" t="s">
        <v>336</v>
      </c>
      <c r="F153" s="4">
        <v>27</v>
      </c>
      <c r="G153" s="4" t="str">
        <f t="shared" si="2"/>
        <v>adult</v>
      </c>
      <c r="H153" s="4" t="s">
        <v>332</v>
      </c>
      <c r="I153" s="4">
        <v>44636</v>
      </c>
      <c r="J153" s="4">
        <v>0.03</v>
      </c>
      <c r="K153" s="4">
        <v>76.2</v>
      </c>
      <c r="L153" s="4" t="s">
        <v>59</v>
      </c>
      <c r="M153" s="4">
        <v>24</v>
      </c>
      <c r="N153" s="4">
        <v>67</v>
      </c>
      <c r="O153" s="4">
        <v>141</v>
      </c>
      <c r="P153" s="4" t="s">
        <v>333</v>
      </c>
      <c r="Q153" s="4">
        <v>1</v>
      </c>
    </row>
    <row r="154" spans="1:17" x14ac:dyDescent="0.3">
      <c r="A154" s="4">
        <v>851037</v>
      </c>
      <c r="B154" s="4" t="s">
        <v>681</v>
      </c>
      <c r="C154" s="4" t="s">
        <v>682</v>
      </c>
      <c r="D154" s="4" t="s">
        <v>679</v>
      </c>
      <c r="E154" s="4" t="s">
        <v>683</v>
      </c>
      <c r="F154" s="4">
        <v>29</v>
      </c>
      <c r="G154" s="4" t="str">
        <f t="shared" si="2"/>
        <v>adult</v>
      </c>
      <c r="H154" s="4" t="s">
        <v>965</v>
      </c>
      <c r="I154" s="4" t="s">
        <v>965</v>
      </c>
      <c r="J154" s="4">
        <v>1.8</v>
      </c>
      <c r="K154" s="4">
        <v>72.099999999999994</v>
      </c>
      <c r="L154" s="4" t="s">
        <v>59</v>
      </c>
      <c r="M154" s="4">
        <v>-56</v>
      </c>
      <c r="N154" s="4">
        <v>131</v>
      </c>
      <c r="O154" s="4">
        <v>233</v>
      </c>
      <c r="P154" s="4" t="s">
        <v>680</v>
      </c>
      <c r="Q154" s="4">
        <v>1</v>
      </c>
    </row>
    <row r="155" spans="1:17" x14ac:dyDescent="0.3">
      <c r="A155" s="4">
        <v>158264</v>
      </c>
      <c r="B155" s="4" t="s">
        <v>81</v>
      </c>
      <c r="C155" s="4" t="s">
        <v>82</v>
      </c>
      <c r="D155" s="4" t="s">
        <v>78</v>
      </c>
      <c r="E155" s="4" t="s">
        <v>83</v>
      </c>
      <c r="F155" s="4">
        <v>29</v>
      </c>
      <c r="G155" s="4" t="str">
        <f t="shared" si="2"/>
        <v>adult</v>
      </c>
      <c r="H155" s="4" t="s">
        <v>79</v>
      </c>
      <c r="I155" s="4">
        <v>44773</v>
      </c>
      <c r="J155" s="4">
        <v>1.56</v>
      </c>
      <c r="K155" s="4">
        <v>88.5</v>
      </c>
      <c r="L155" s="4" t="s">
        <v>59</v>
      </c>
      <c r="M155" s="4">
        <v>322</v>
      </c>
      <c r="N155" s="4">
        <v>16</v>
      </c>
      <c r="O155" s="4">
        <v>119</v>
      </c>
      <c r="P155" s="4" t="s">
        <v>80</v>
      </c>
      <c r="Q155" s="4">
        <v>1</v>
      </c>
    </row>
    <row r="156" spans="1:17" x14ac:dyDescent="0.3">
      <c r="A156" s="4">
        <v>519096</v>
      </c>
      <c r="B156" s="4" t="s">
        <v>81</v>
      </c>
      <c r="C156" s="4" t="s">
        <v>881</v>
      </c>
      <c r="D156" s="4" t="s">
        <v>95</v>
      </c>
      <c r="E156" s="4" t="s">
        <v>100</v>
      </c>
      <c r="F156" s="4">
        <v>52</v>
      </c>
      <c r="G156" s="4" t="str">
        <f t="shared" si="2"/>
        <v>adult</v>
      </c>
      <c r="H156" s="4" t="s">
        <v>879</v>
      </c>
      <c r="I156" s="4">
        <v>44777</v>
      </c>
      <c r="J156" s="4">
        <v>1.77</v>
      </c>
      <c r="K156" s="4">
        <v>86.2</v>
      </c>
      <c r="L156" s="4" t="s">
        <v>15</v>
      </c>
      <c r="M156" s="4">
        <v>490</v>
      </c>
      <c r="N156" s="4">
        <v>6</v>
      </c>
      <c r="O156" s="4">
        <v>508</v>
      </c>
      <c r="P156" s="4" t="s">
        <v>880</v>
      </c>
      <c r="Q156" s="4">
        <v>1</v>
      </c>
    </row>
    <row r="157" spans="1:17" x14ac:dyDescent="0.3">
      <c r="A157" s="4">
        <v>121517</v>
      </c>
      <c r="B157" s="4" t="s">
        <v>884</v>
      </c>
      <c r="C157" s="4" t="s">
        <v>885</v>
      </c>
      <c r="D157" s="4" t="s">
        <v>13</v>
      </c>
      <c r="E157" s="4" t="s">
        <v>19</v>
      </c>
      <c r="F157" s="4">
        <v>54</v>
      </c>
      <c r="G157" s="4" t="str">
        <f t="shared" si="2"/>
        <v>adult</v>
      </c>
      <c r="H157" s="4" t="s">
        <v>882</v>
      </c>
      <c r="I157" s="4">
        <v>44831</v>
      </c>
      <c r="J157" s="4">
        <v>1.86</v>
      </c>
      <c r="K157" s="4">
        <v>90.7</v>
      </c>
      <c r="L157" s="4" t="s">
        <v>15</v>
      </c>
      <c r="M157" s="4">
        <v>350</v>
      </c>
      <c r="N157" s="4">
        <v>7</v>
      </c>
      <c r="O157" s="4">
        <v>505</v>
      </c>
      <c r="P157" s="4" t="s">
        <v>883</v>
      </c>
      <c r="Q157" s="4">
        <v>1</v>
      </c>
    </row>
    <row r="158" spans="1:17" x14ac:dyDescent="0.3">
      <c r="A158" s="4">
        <v>750230</v>
      </c>
      <c r="B158" s="4" t="s">
        <v>884</v>
      </c>
      <c r="C158" s="4" t="s">
        <v>930</v>
      </c>
      <c r="D158" s="4" t="s">
        <v>13</v>
      </c>
      <c r="E158" s="4" t="s">
        <v>19</v>
      </c>
      <c r="F158" s="4">
        <v>60</v>
      </c>
      <c r="G158" s="4" t="str">
        <f t="shared" si="2"/>
        <v>adult</v>
      </c>
      <c r="H158" s="4" t="s">
        <v>929</v>
      </c>
      <c r="I158" s="4">
        <v>44926</v>
      </c>
      <c r="J158" s="4">
        <v>1.56</v>
      </c>
      <c r="K158" s="4">
        <v>84.4</v>
      </c>
      <c r="L158" s="4" t="s">
        <v>15</v>
      </c>
      <c r="M158" s="4">
        <v>520</v>
      </c>
      <c r="N158" s="4">
        <v>1</v>
      </c>
      <c r="O158" s="4">
        <v>601</v>
      </c>
      <c r="P158" s="4" t="s">
        <v>225</v>
      </c>
      <c r="Q158" s="4">
        <v>1</v>
      </c>
    </row>
    <row r="159" spans="1:17" x14ac:dyDescent="0.3">
      <c r="A159" s="4">
        <v>34025</v>
      </c>
      <c r="B159" s="4" t="s">
        <v>502</v>
      </c>
      <c r="C159" s="4" t="s">
        <v>503</v>
      </c>
      <c r="D159" s="4" t="s">
        <v>499</v>
      </c>
      <c r="E159" s="4" t="s">
        <v>504</v>
      </c>
      <c r="F159" s="4">
        <v>32</v>
      </c>
      <c r="G159" s="4" t="str">
        <f t="shared" si="2"/>
        <v>adult</v>
      </c>
      <c r="H159" s="4" t="s">
        <v>500</v>
      </c>
      <c r="I159" s="4">
        <v>44640</v>
      </c>
      <c r="J159" s="4">
        <v>1.8</v>
      </c>
      <c r="K159" s="4">
        <v>79.400000000000006</v>
      </c>
      <c r="L159" s="4" t="s">
        <v>59</v>
      </c>
      <c r="M159" s="4">
        <v>-23</v>
      </c>
      <c r="N159" s="4">
        <v>98</v>
      </c>
      <c r="O159" s="4">
        <v>203</v>
      </c>
      <c r="P159" s="4" t="s">
        <v>501</v>
      </c>
      <c r="Q159" s="4">
        <v>1</v>
      </c>
    </row>
    <row r="160" spans="1:17" x14ac:dyDescent="0.3">
      <c r="A160" s="4">
        <v>1178252</v>
      </c>
      <c r="B160" s="4" t="s">
        <v>372</v>
      </c>
      <c r="C160" s="4" t="s">
        <v>373</v>
      </c>
      <c r="D160" s="4" t="s">
        <v>370</v>
      </c>
      <c r="E160" s="4" t="s">
        <v>374</v>
      </c>
      <c r="F160" s="4">
        <v>27</v>
      </c>
      <c r="G160" s="4" t="str">
        <f t="shared" si="2"/>
        <v>adult</v>
      </c>
      <c r="H160" s="4" t="s">
        <v>965</v>
      </c>
      <c r="I160" s="4" t="s">
        <v>965</v>
      </c>
      <c r="J160" s="4">
        <v>1.83</v>
      </c>
      <c r="K160" s="4">
        <v>89.8</v>
      </c>
      <c r="L160" s="4" t="s">
        <v>59</v>
      </c>
      <c r="M160" s="4">
        <v>7</v>
      </c>
      <c r="N160" s="4">
        <v>74</v>
      </c>
      <c r="O160" s="4">
        <v>153</v>
      </c>
      <c r="P160" s="4" t="s">
        <v>371</v>
      </c>
      <c r="Q160" s="4">
        <v>1</v>
      </c>
    </row>
    <row r="161" spans="1:17" x14ac:dyDescent="0.3">
      <c r="A161" s="4">
        <v>318213</v>
      </c>
      <c r="B161" s="4" t="s">
        <v>794</v>
      </c>
      <c r="C161" s="4" t="s">
        <v>795</v>
      </c>
      <c r="D161" s="4" t="s">
        <v>95</v>
      </c>
      <c r="E161" s="4" t="s">
        <v>100</v>
      </c>
      <c r="F161" s="4">
        <v>40</v>
      </c>
      <c r="G161" s="4" t="str">
        <f t="shared" si="2"/>
        <v>adult</v>
      </c>
      <c r="H161" s="4" t="s">
        <v>793</v>
      </c>
      <c r="I161" s="4">
        <v>44904</v>
      </c>
      <c r="J161" s="4">
        <v>1.55</v>
      </c>
      <c r="K161" s="4">
        <v>90.7</v>
      </c>
      <c r="L161" s="4" t="s">
        <v>15</v>
      </c>
      <c r="M161" s="4">
        <v>510</v>
      </c>
      <c r="N161" s="4">
        <v>2</v>
      </c>
      <c r="O161" s="4">
        <v>410</v>
      </c>
      <c r="P161" s="4" t="s">
        <v>225</v>
      </c>
      <c r="Q161" s="4">
        <v>1</v>
      </c>
    </row>
    <row r="162" spans="1:17" x14ac:dyDescent="0.3">
      <c r="A162" s="4">
        <v>571999</v>
      </c>
      <c r="B162" s="4" t="s">
        <v>512</v>
      </c>
      <c r="C162" s="4" t="s">
        <v>513</v>
      </c>
      <c r="D162" s="4" t="s">
        <v>13</v>
      </c>
      <c r="E162" s="4" t="s">
        <v>19</v>
      </c>
      <c r="F162" s="4">
        <v>29</v>
      </c>
      <c r="G162" s="4" t="str">
        <f t="shared" si="2"/>
        <v>adult</v>
      </c>
      <c r="H162" s="4" t="s">
        <v>510</v>
      </c>
      <c r="I162" s="4">
        <v>44605</v>
      </c>
      <c r="J162" s="4">
        <v>1.56</v>
      </c>
      <c r="K162" s="4">
        <v>90.7</v>
      </c>
      <c r="L162" s="4" t="s">
        <v>59</v>
      </c>
      <c r="M162" s="4">
        <v>-25</v>
      </c>
      <c r="N162" s="4">
        <v>100</v>
      </c>
      <c r="O162" s="4">
        <v>110</v>
      </c>
      <c r="P162" s="4" t="s">
        <v>511</v>
      </c>
      <c r="Q162" s="4">
        <v>1</v>
      </c>
    </row>
    <row r="163" spans="1:17" x14ac:dyDescent="0.3">
      <c r="A163" s="4">
        <v>352604</v>
      </c>
      <c r="B163" s="4" t="s">
        <v>621</v>
      </c>
      <c r="C163" s="4" t="s">
        <v>325</v>
      </c>
      <c r="D163" s="4" t="s">
        <v>618</v>
      </c>
      <c r="E163" s="4" t="s">
        <v>622</v>
      </c>
      <c r="F163" s="4">
        <v>30</v>
      </c>
      <c r="G163" s="4" t="str">
        <f t="shared" si="2"/>
        <v>adult</v>
      </c>
      <c r="H163" s="4" t="s">
        <v>619</v>
      </c>
      <c r="I163" s="4">
        <v>44760</v>
      </c>
      <c r="J163" s="4">
        <v>1.55</v>
      </c>
      <c r="K163" s="4">
        <v>86.2</v>
      </c>
      <c r="L163" s="4" t="s">
        <v>59</v>
      </c>
      <c r="M163" s="4">
        <v>-45</v>
      </c>
      <c r="N163" s="4">
        <v>120</v>
      </c>
      <c r="O163" s="4">
        <v>214</v>
      </c>
      <c r="P163" s="4" t="s">
        <v>620</v>
      </c>
      <c r="Q163" s="4">
        <v>1</v>
      </c>
    </row>
    <row r="164" spans="1:17" x14ac:dyDescent="0.3">
      <c r="A164" s="4">
        <v>221046</v>
      </c>
      <c r="B164" s="4" t="s">
        <v>927</v>
      </c>
      <c r="C164" s="4" t="s">
        <v>928</v>
      </c>
      <c r="D164" s="4" t="s">
        <v>13</v>
      </c>
      <c r="E164" s="4" t="s">
        <v>19</v>
      </c>
      <c r="F164" s="4">
        <v>55</v>
      </c>
      <c r="G164" s="4" t="str">
        <f t="shared" si="2"/>
        <v>adult</v>
      </c>
      <c r="H164" s="4" t="s">
        <v>925</v>
      </c>
      <c r="I164" s="4">
        <v>44797</v>
      </c>
      <c r="J164" s="4">
        <v>1.83</v>
      </c>
      <c r="K164" s="4">
        <v>90.7</v>
      </c>
      <c r="L164" s="4" t="s">
        <v>15</v>
      </c>
      <c r="M164" s="4">
        <v>260</v>
      </c>
      <c r="N164" s="4">
        <v>9</v>
      </c>
      <c r="O164" s="4">
        <v>556</v>
      </c>
      <c r="P164" s="4" t="s">
        <v>926</v>
      </c>
      <c r="Q164" s="4">
        <v>1</v>
      </c>
    </row>
    <row r="165" spans="1:17" x14ac:dyDescent="0.3">
      <c r="A165" s="4">
        <v>252855</v>
      </c>
      <c r="B165" s="4" t="s">
        <v>798</v>
      </c>
      <c r="C165" s="4" t="s">
        <v>799</v>
      </c>
      <c r="D165" s="4" t="s">
        <v>78</v>
      </c>
      <c r="E165" s="4" t="s">
        <v>83</v>
      </c>
      <c r="F165" s="4">
        <v>42</v>
      </c>
      <c r="G165" s="4" t="str">
        <f t="shared" si="2"/>
        <v>adult</v>
      </c>
      <c r="H165" s="4" t="s">
        <v>796</v>
      </c>
      <c r="I165" s="4">
        <v>44887</v>
      </c>
      <c r="J165" s="4">
        <v>1.86</v>
      </c>
      <c r="K165" s="4">
        <v>90.7</v>
      </c>
      <c r="L165" s="4" t="s">
        <v>15</v>
      </c>
      <c r="M165" s="4">
        <v>510</v>
      </c>
      <c r="N165" s="4">
        <v>3</v>
      </c>
      <c r="O165" s="4">
        <v>403</v>
      </c>
      <c r="P165" s="4" t="s">
        <v>797</v>
      </c>
      <c r="Q165" s="4">
        <v>1</v>
      </c>
    </row>
    <row r="166" spans="1:17" x14ac:dyDescent="0.3">
      <c r="A166" s="4">
        <v>722854</v>
      </c>
      <c r="B166" s="4" t="s">
        <v>609</v>
      </c>
      <c r="C166" s="4" t="s">
        <v>610</v>
      </c>
      <c r="D166" s="4" t="s">
        <v>606</v>
      </c>
      <c r="E166" s="4" t="s">
        <v>611</v>
      </c>
      <c r="F166" s="4">
        <v>32</v>
      </c>
      <c r="G166" s="4" t="str">
        <f t="shared" si="2"/>
        <v>adult</v>
      </c>
      <c r="H166" s="4" t="s">
        <v>607</v>
      </c>
      <c r="I166" s="4">
        <v>44733</v>
      </c>
      <c r="J166" s="4">
        <v>1.74</v>
      </c>
      <c r="K166" s="4">
        <v>79.8</v>
      </c>
      <c r="L166" s="4" t="s">
        <v>59</v>
      </c>
      <c r="M166" s="4">
        <v>-43</v>
      </c>
      <c r="N166" s="4">
        <v>118</v>
      </c>
      <c r="O166" s="4">
        <v>205</v>
      </c>
      <c r="P166" s="4" t="s">
        <v>608</v>
      </c>
      <c r="Q166" s="4">
        <v>1</v>
      </c>
    </row>
    <row r="167" spans="1:17" x14ac:dyDescent="0.3">
      <c r="A167" s="4">
        <v>683301</v>
      </c>
      <c r="B167" s="4" t="s">
        <v>574</v>
      </c>
      <c r="C167" s="4" t="s">
        <v>575</v>
      </c>
      <c r="D167" s="4" t="s">
        <v>571</v>
      </c>
      <c r="E167" s="4" t="s">
        <v>576</v>
      </c>
      <c r="F167" s="4">
        <v>31</v>
      </c>
      <c r="G167" s="4" t="str">
        <f t="shared" si="2"/>
        <v>adult</v>
      </c>
      <c r="H167" s="4" t="s">
        <v>572</v>
      </c>
      <c r="I167" s="4">
        <v>44693</v>
      </c>
      <c r="J167" s="4">
        <v>1.89</v>
      </c>
      <c r="K167" s="4">
        <v>83.9</v>
      </c>
      <c r="L167" s="4" t="s">
        <v>59</v>
      </c>
      <c r="M167" s="4">
        <v>-37</v>
      </c>
      <c r="N167" s="4">
        <v>112</v>
      </c>
      <c r="O167" s="4">
        <v>211</v>
      </c>
      <c r="P167" s="4" t="s">
        <v>573</v>
      </c>
      <c r="Q167" s="4">
        <v>1</v>
      </c>
    </row>
    <row r="168" spans="1:17" x14ac:dyDescent="0.3">
      <c r="A168" s="4">
        <v>682551</v>
      </c>
      <c r="B168" s="4" t="s">
        <v>150</v>
      </c>
      <c r="C168" s="4" t="s">
        <v>151</v>
      </c>
      <c r="D168" s="4" t="s">
        <v>13</v>
      </c>
      <c r="E168" s="4" t="s">
        <v>19</v>
      </c>
      <c r="F168" s="4">
        <v>25</v>
      </c>
      <c r="G168" s="4" t="str">
        <f t="shared" si="2"/>
        <v>adult</v>
      </c>
      <c r="H168" s="4" t="s">
        <v>148</v>
      </c>
      <c r="I168" s="4">
        <v>44782</v>
      </c>
      <c r="J168" s="4">
        <v>1.77</v>
      </c>
      <c r="K168" s="4">
        <v>86.2</v>
      </c>
      <c r="L168" s="4" t="s">
        <v>59</v>
      </c>
      <c r="M168" s="4">
        <v>208</v>
      </c>
      <c r="N168" s="4">
        <v>30</v>
      </c>
      <c r="O168" s="4">
        <v>313</v>
      </c>
      <c r="P168" s="4" t="s">
        <v>149</v>
      </c>
      <c r="Q168" s="4">
        <v>1</v>
      </c>
    </row>
    <row r="169" spans="1:17" x14ac:dyDescent="0.3">
      <c r="A169" s="4">
        <v>109071</v>
      </c>
      <c r="B169" s="4" t="s">
        <v>892</v>
      </c>
      <c r="C169" s="4" t="s">
        <v>893</v>
      </c>
      <c r="D169" s="4" t="s">
        <v>13</v>
      </c>
      <c r="E169" s="4" t="s">
        <v>19</v>
      </c>
      <c r="F169" s="4">
        <v>51</v>
      </c>
      <c r="G169" s="4" t="str">
        <f t="shared" si="2"/>
        <v>adult</v>
      </c>
      <c r="H169" s="4" t="s">
        <v>890</v>
      </c>
      <c r="I169" s="4">
        <v>44834</v>
      </c>
      <c r="J169" s="4">
        <v>1.8</v>
      </c>
      <c r="K169" s="4">
        <v>85.3</v>
      </c>
      <c r="L169" s="4" t="s">
        <v>15</v>
      </c>
      <c r="M169" s="4">
        <v>310</v>
      </c>
      <c r="N169" s="4">
        <v>9</v>
      </c>
      <c r="O169" s="4">
        <v>509</v>
      </c>
      <c r="P169" s="4" t="s">
        <v>891</v>
      </c>
      <c r="Q169" s="4">
        <v>1</v>
      </c>
    </row>
    <row r="170" spans="1:17" x14ac:dyDescent="0.3">
      <c r="A170" s="4">
        <v>423302</v>
      </c>
      <c r="B170" s="4" t="s">
        <v>340</v>
      </c>
      <c r="C170" s="4" t="s">
        <v>341</v>
      </c>
      <c r="D170" s="4" t="s">
        <v>337</v>
      </c>
      <c r="E170" s="4" t="s">
        <v>342</v>
      </c>
      <c r="F170" s="4">
        <v>22</v>
      </c>
      <c r="G170" s="4" t="str">
        <f t="shared" si="2"/>
        <v>adult</v>
      </c>
      <c r="H170" s="4" t="s">
        <v>338</v>
      </c>
      <c r="I170" s="4">
        <v>44719</v>
      </c>
      <c r="J170" s="4">
        <v>1.83</v>
      </c>
      <c r="K170" s="4">
        <v>91.2</v>
      </c>
      <c r="L170" s="4" t="s">
        <v>59</v>
      </c>
      <c r="M170" s="4">
        <v>23</v>
      </c>
      <c r="N170" s="4">
        <v>68</v>
      </c>
      <c r="O170" s="4">
        <v>160</v>
      </c>
      <c r="P170" s="4" t="s">
        <v>339</v>
      </c>
      <c r="Q170" s="4">
        <v>1</v>
      </c>
    </row>
    <row r="171" spans="1:17" x14ac:dyDescent="0.3">
      <c r="A171" s="4">
        <v>1306552</v>
      </c>
      <c r="B171" s="4" t="s">
        <v>692</v>
      </c>
      <c r="C171" s="4" t="s">
        <v>693</v>
      </c>
      <c r="D171" s="4" t="s">
        <v>690</v>
      </c>
      <c r="E171" s="4" t="s">
        <v>694</v>
      </c>
      <c r="F171" s="4">
        <v>30</v>
      </c>
      <c r="G171" s="4" t="str">
        <f t="shared" si="2"/>
        <v>adult</v>
      </c>
      <c r="H171" s="4" t="s">
        <v>969</v>
      </c>
      <c r="I171" s="4">
        <v>44705</v>
      </c>
      <c r="J171" s="4">
        <v>1.8</v>
      </c>
      <c r="K171" s="4">
        <v>69.900000000000006</v>
      </c>
      <c r="L171" s="4" t="s">
        <v>59</v>
      </c>
      <c r="M171" s="4">
        <v>-58</v>
      </c>
      <c r="N171" s="4">
        <v>133</v>
      </c>
      <c r="O171" s="4">
        <v>227</v>
      </c>
      <c r="P171" s="4" t="s">
        <v>691</v>
      </c>
      <c r="Q171" s="4">
        <v>1</v>
      </c>
    </row>
    <row r="172" spans="1:17" x14ac:dyDescent="0.3">
      <c r="A172" s="4">
        <v>74320</v>
      </c>
      <c r="B172" s="4" t="s">
        <v>68</v>
      </c>
      <c r="C172" s="4" t="s">
        <v>69</v>
      </c>
      <c r="D172" s="4" t="s">
        <v>13</v>
      </c>
      <c r="E172" s="4" t="s">
        <v>19</v>
      </c>
      <c r="F172" s="4">
        <v>23</v>
      </c>
      <c r="G172" s="4" t="str">
        <f t="shared" si="2"/>
        <v>adult</v>
      </c>
      <c r="H172" s="4" t="s">
        <v>965</v>
      </c>
      <c r="I172" s="4" t="s">
        <v>965</v>
      </c>
      <c r="J172" s="4">
        <v>1.56</v>
      </c>
      <c r="K172" s="4">
        <v>90.7</v>
      </c>
      <c r="L172" s="4" t="s">
        <v>59</v>
      </c>
      <c r="M172" s="4">
        <v>349</v>
      </c>
      <c r="N172" s="4">
        <v>13</v>
      </c>
      <c r="O172" s="4">
        <v>111</v>
      </c>
      <c r="P172" s="4" t="s">
        <v>67</v>
      </c>
      <c r="Q172" s="4">
        <v>1</v>
      </c>
    </row>
    <row r="173" spans="1:17" x14ac:dyDescent="0.3">
      <c r="A173" s="4">
        <v>327636</v>
      </c>
      <c r="B173" s="4" t="s">
        <v>68</v>
      </c>
      <c r="C173" s="4" t="s">
        <v>171</v>
      </c>
      <c r="D173" s="4" t="s">
        <v>78</v>
      </c>
      <c r="E173" s="4" t="s">
        <v>83</v>
      </c>
      <c r="F173" s="4">
        <v>23</v>
      </c>
      <c r="G173" s="4" t="str">
        <f t="shared" si="2"/>
        <v>adult</v>
      </c>
      <c r="H173" s="4" t="s">
        <v>169</v>
      </c>
      <c r="I173" s="4">
        <v>44600</v>
      </c>
      <c r="J173" s="4">
        <v>1.56</v>
      </c>
      <c r="K173" s="4">
        <v>88.5</v>
      </c>
      <c r="L173" s="4" t="s">
        <v>59</v>
      </c>
      <c r="M173" s="4">
        <v>186</v>
      </c>
      <c r="N173" s="4">
        <v>35</v>
      </c>
      <c r="O173" s="4">
        <v>104</v>
      </c>
      <c r="P173" s="4" t="s">
        <v>170</v>
      </c>
      <c r="Q173" s="4">
        <v>1</v>
      </c>
    </row>
    <row r="174" spans="1:17" x14ac:dyDescent="0.3">
      <c r="A174" s="4">
        <v>326958</v>
      </c>
      <c r="B174" s="4" t="s">
        <v>474</v>
      </c>
      <c r="C174" s="4" t="s">
        <v>475</v>
      </c>
      <c r="D174" s="4" t="s">
        <v>471</v>
      </c>
      <c r="E174" s="4" t="s">
        <v>476</v>
      </c>
      <c r="F174" s="4">
        <v>25</v>
      </c>
      <c r="G174" s="4" t="str">
        <f t="shared" si="2"/>
        <v>adult</v>
      </c>
      <c r="H174" s="4" t="s">
        <v>472</v>
      </c>
      <c r="I174" s="4">
        <v>44722</v>
      </c>
      <c r="J174" s="4">
        <v>1.77</v>
      </c>
      <c r="K174" s="4">
        <v>82.1</v>
      </c>
      <c r="L174" s="4" t="s">
        <v>59</v>
      </c>
      <c r="M174" s="4">
        <v>-18</v>
      </c>
      <c r="N174" s="4">
        <v>93</v>
      </c>
      <c r="O174" s="4">
        <v>167</v>
      </c>
      <c r="P174" s="4" t="s">
        <v>473</v>
      </c>
      <c r="Q174" s="4">
        <v>1</v>
      </c>
    </row>
    <row r="175" spans="1:17" x14ac:dyDescent="0.3">
      <c r="A175" s="4">
        <v>310970</v>
      </c>
      <c r="B175" s="4" t="s">
        <v>53</v>
      </c>
      <c r="C175" s="4" t="s">
        <v>31</v>
      </c>
      <c r="D175" s="4" t="s">
        <v>13</v>
      </c>
      <c r="E175" s="4" t="s">
        <v>19</v>
      </c>
      <c r="F175" s="4">
        <v>23</v>
      </c>
      <c r="G175" s="4" t="str">
        <f t="shared" si="2"/>
        <v>adult</v>
      </c>
      <c r="H175" s="4" t="s">
        <v>51</v>
      </c>
      <c r="I175" s="4">
        <v>44969</v>
      </c>
      <c r="J175" s="4">
        <v>1.8</v>
      </c>
      <c r="K175" s="4">
        <v>83.9</v>
      </c>
      <c r="L175" s="4" t="s">
        <v>15</v>
      </c>
      <c r="M175" s="4">
        <v>587</v>
      </c>
      <c r="N175" s="4">
        <v>9</v>
      </c>
      <c r="O175" s="4">
        <v>310</v>
      </c>
      <c r="P175" s="4" t="s">
        <v>52</v>
      </c>
      <c r="Q175" s="4">
        <v>1</v>
      </c>
    </row>
    <row r="176" spans="1:17" x14ac:dyDescent="0.3">
      <c r="A176" s="4">
        <v>34796</v>
      </c>
      <c r="B176" s="4" t="s">
        <v>30</v>
      </c>
      <c r="C176" s="4" t="s">
        <v>31</v>
      </c>
      <c r="D176" s="4" t="s">
        <v>13</v>
      </c>
      <c r="E176" s="4" t="s">
        <v>19</v>
      </c>
      <c r="F176" s="4">
        <v>31</v>
      </c>
      <c r="G176" s="4" t="str">
        <f t="shared" si="2"/>
        <v>adult</v>
      </c>
      <c r="H176" s="4" t="s">
        <v>28</v>
      </c>
      <c r="I176" s="4">
        <v>44597</v>
      </c>
      <c r="J176" s="4">
        <v>1.8</v>
      </c>
      <c r="K176" s="4">
        <v>84.8</v>
      </c>
      <c r="L176" s="4" t="s">
        <v>15</v>
      </c>
      <c r="M176" s="4">
        <v>795</v>
      </c>
      <c r="N176" s="4">
        <v>4</v>
      </c>
      <c r="O176" s="4">
        <v>105</v>
      </c>
      <c r="P176" s="4" t="s">
        <v>29</v>
      </c>
      <c r="Q176" s="4">
        <v>1</v>
      </c>
    </row>
    <row r="177" spans="1:17" x14ac:dyDescent="0.3">
      <c r="A177" s="4">
        <v>134617</v>
      </c>
      <c r="B177" s="4" t="s">
        <v>123</v>
      </c>
      <c r="C177" s="4" t="s">
        <v>124</v>
      </c>
      <c r="D177" s="4" t="s">
        <v>13</v>
      </c>
      <c r="E177" s="4" t="s">
        <v>19</v>
      </c>
      <c r="F177" s="4">
        <v>27</v>
      </c>
      <c r="G177" s="4" t="str">
        <f t="shared" si="2"/>
        <v>adult</v>
      </c>
      <c r="H177" s="4" t="s">
        <v>121</v>
      </c>
      <c r="I177" s="4">
        <v>44789</v>
      </c>
      <c r="J177" s="4">
        <v>1.8</v>
      </c>
      <c r="K177" s="4">
        <v>87.1</v>
      </c>
      <c r="L177" s="4" t="s">
        <v>59</v>
      </c>
      <c r="M177" s="4">
        <v>236</v>
      </c>
      <c r="N177" s="4">
        <v>24</v>
      </c>
      <c r="O177" s="4">
        <v>304</v>
      </c>
      <c r="P177" s="4" t="s">
        <v>122</v>
      </c>
      <c r="Q177" s="4">
        <v>1</v>
      </c>
    </row>
    <row r="178" spans="1:17" x14ac:dyDescent="0.3">
      <c r="A178" s="4">
        <v>907105</v>
      </c>
      <c r="B178" s="4" t="s">
        <v>522</v>
      </c>
      <c r="C178" s="4" t="s">
        <v>523</v>
      </c>
      <c r="D178" s="4" t="s">
        <v>520</v>
      </c>
      <c r="E178" s="4" t="s">
        <v>524</v>
      </c>
      <c r="F178" s="4">
        <v>22</v>
      </c>
      <c r="G178" s="4" t="str">
        <f t="shared" si="2"/>
        <v>adult</v>
      </c>
      <c r="H178" s="4" t="s">
        <v>965</v>
      </c>
      <c r="I178" s="4" t="s">
        <v>965</v>
      </c>
      <c r="J178" s="4">
        <v>1.74</v>
      </c>
      <c r="K178" s="4">
        <v>79.8</v>
      </c>
      <c r="L178" s="4" t="s">
        <v>59</v>
      </c>
      <c r="M178" s="4">
        <v>-27</v>
      </c>
      <c r="N178" s="4">
        <v>102</v>
      </c>
      <c r="O178" s="4">
        <v>180</v>
      </c>
      <c r="P178" s="4" t="s">
        <v>521</v>
      </c>
      <c r="Q178" s="4">
        <v>1</v>
      </c>
    </row>
    <row r="179" spans="1:17" x14ac:dyDescent="0.3">
      <c r="A179" s="4">
        <v>213806</v>
      </c>
      <c r="B179" s="4" t="s">
        <v>400</v>
      </c>
      <c r="C179" s="4" t="s">
        <v>401</v>
      </c>
      <c r="D179" s="4" t="s">
        <v>398</v>
      </c>
      <c r="E179" s="4" t="s">
        <v>402</v>
      </c>
      <c r="F179" s="4">
        <v>31</v>
      </c>
      <c r="G179" s="4" t="str">
        <f t="shared" si="2"/>
        <v>adult</v>
      </c>
      <c r="H179" s="4" t="s">
        <v>965</v>
      </c>
      <c r="I179" s="4" t="s">
        <v>965</v>
      </c>
      <c r="J179" s="4">
        <v>1.83</v>
      </c>
      <c r="K179" s="4">
        <v>88</v>
      </c>
      <c r="L179" s="4" t="s">
        <v>59</v>
      </c>
      <c r="M179" s="4">
        <v>-4</v>
      </c>
      <c r="N179" s="4">
        <v>79</v>
      </c>
      <c r="O179" s="4">
        <v>162</v>
      </c>
      <c r="P179" s="4" t="s">
        <v>399</v>
      </c>
      <c r="Q179" s="4">
        <v>1</v>
      </c>
    </row>
    <row r="180" spans="1:17" x14ac:dyDescent="0.3">
      <c r="A180" s="4">
        <v>849478</v>
      </c>
      <c r="B180" s="4" t="s">
        <v>322</v>
      </c>
      <c r="C180" s="4" t="s">
        <v>323</v>
      </c>
      <c r="D180" s="4" t="s">
        <v>319</v>
      </c>
      <c r="E180" s="4" t="s">
        <v>324</v>
      </c>
      <c r="F180" s="4">
        <v>32</v>
      </c>
      <c r="G180" s="4" t="str">
        <f t="shared" si="2"/>
        <v>adult</v>
      </c>
      <c r="H180" s="4" t="s">
        <v>320</v>
      </c>
      <c r="I180" s="4">
        <v>44696</v>
      </c>
      <c r="J180" s="4">
        <v>0.15</v>
      </c>
      <c r="K180" s="4">
        <v>83.9</v>
      </c>
      <c r="L180" s="4" t="s">
        <v>59</v>
      </c>
      <c r="M180" s="4">
        <v>31</v>
      </c>
      <c r="N180" s="4">
        <v>65</v>
      </c>
      <c r="O180" s="4">
        <v>171</v>
      </c>
      <c r="P180" s="4" t="s">
        <v>321</v>
      </c>
      <c r="Q180" s="4">
        <v>1</v>
      </c>
    </row>
    <row r="181" spans="1:17" x14ac:dyDescent="0.3">
      <c r="A181" s="4">
        <v>125959</v>
      </c>
      <c r="B181" s="4" t="s">
        <v>971</v>
      </c>
      <c r="C181" s="4" t="s">
        <v>972</v>
      </c>
      <c r="D181" s="4" t="s">
        <v>24</v>
      </c>
      <c r="E181" s="4" t="s">
        <v>27</v>
      </c>
      <c r="F181" s="4">
        <v>35</v>
      </c>
      <c r="G181" s="4" t="str">
        <f t="shared" si="2"/>
        <v>adult</v>
      </c>
      <c r="H181" s="4" t="s">
        <v>765</v>
      </c>
      <c r="I181" s="4">
        <v>44875</v>
      </c>
      <c r="J181" s="4">
        <v>1.55</v>
      </c>
      <c r="K181" s="4">
        <v>91.2</v>
      </c>
      <c r="L181" s="4" t="s">
        <v>15</v>
      </c>
      <c r="M181" s="4">
        <v>580</v>
      </c>
      <c r="N181" s="4">
        <v>3</v>
      </c>
      <c r="O181" s="4">
        <v>357</v>
      </c>
      <c r="P181" s="4" t="s">
        <v>766</v>
      </c>
      <c r="Q181" s="4">
        <v>1</v>
      </c>
    </row>
    <row r="182" spans="1:17" x14ac:dyDescent="0.3">
      <c r="A182" s="4">
        <v>106655</v>
      </c>
      <c r="B182" s="4" t="s">
        <v>217</v>
      </c>
      <c r="C182" s="4" t="s">
        <v>218</v>
      </c>
      <c r="D182" s="4" t="s">
        <v>84</v>
      </c>
      <c r="E182" s="4" t="s">
        <v>88</v>
      </c>
      <c r="F182" s="4">
        <v>28</v>
      </c>
      <c r="G182" s="4" t="str">
        <f t="shared" si="2"/>
        <v>adult</v>
      </c>
      <c r="H182" s="4" t="s">
        <v>215</v>
      </c>
      <c r="I182" s="4">
        <v>44592</v>
      </c>
      <c r="J182" s="4">
        <v>1.56</v>
      </c>
      <c r="K182" s="4">
        <v>94.8</v>
      </c>
      <c r="L182" s="4" t="s">
        <v>59</v>
      </c>
      <c r="M182" s="4">
        <v>99</v>
      </c>
      <c r="N182" s="4">
        <v>45</v>
      </c>
      <c r="O182" s="4">
        <v>112</v>
      </c>
      <c r="P182" s="4" t="s">
        <v>216</v>
      </c>
      <c r="Q182" s="4">
        <v>1</v>
      </c>
    </row>
    <row r="183" spans="1:17" x14ac:dyDescent="0.3">
      <c r="A183" s="4">
        <v>495051</v>
      </c>
      <c r="B183" s="4" t="s">
        <v>539</v>
      </c>
      <c r="C183" s="4" t="s">
        <v>540</v>
      </c>
      <c r="D183" s="4" t="s">
        <v>536</v>
      </c>
      <c r="E183" s="4" t="s">
        <v>541</v>
      </c>
      <c r="F183" s="4">
        <v>46</v>
      </c>
      <c r="G183" s="4" t="str">
        <f t="shared" si="2"/>
        <v>adult</v>
      </c>
      <c r="H183" s="4" t="s">
        <v>537</v>
      </c>
      <c r="I183" s="4">
        <v>44768</v>
      </c>
      <c r="J183" s="4">
        <v>1.89</v>
      </c>
      <c r="K183" s="4">
        <v>85.7</v>
      </c>
      <c r="L183" s="4" t="s">
        <v>59</v>
      </c>
      <c r="M183" s="4">
        <v>-30</v>
      </c>
      <c r="N183" s="4">
        <v>105</v>
      </c>
      <c r="O183" s="4">
        <v>208</v>
      </c>
      <c r="P183" s="4" t="s">
        <v>538</v>
      </c>
      <c r="Q183" s="4">
        <v>1</v>
      </c>
    </row>
    <row r="184" spans="1:17" x14ac:dyDescent="0.3">
      <c r="A184" s="4">
        <v>658408</v>
      </c>
      <c r="B184" s="4" t="s">
        <v>468</v>
      </c>
      <c r="C184" s="4" t="s">
        <v>469</v>
      </c>
      <c r="D184" s="4" t="s">
        <v>465</v>
      </c>
      <c r="E184" s="4" t="s">
        <v>470</v>
      </c>
      <c r="F184" s="4">
        <v>27</v>
      </c>
      <c r="G184" s="4" t="str">
        <f t="shared" si="2"/>
        <v>adult</v>
      </c>
      <c r="H184" s="4" t="s">
        <v>466</v>
      </c>
      <c r="I184" s="4">
        <v>44684</v>
      </c>
      <c r="J184" s="4">
        <v>1.74</v>
      </c>
      <c r="K184" s="4">
        <v>73</v>
      </c>
      <c r="L184" s="4" t="s">
        <v>59</v>
      </c>
      <c r="M184" s="4">
        <v>-17</v>
      </c>
      <c r="N184" s="4">
        <v>92</v>
      </c>
      <c r="O184" s="4">
        <v>176</v>
      </c>
      <c r="P184" s="4" t="s">
        <v>467</v>
      </c>
      <c r="Q184" s="4">
        <v>1</v>
      </c>
    </row>
    <row r="185" spans="1:17" x14ac:dyDescent="0.3">
      <c r="A185" s="4">
        <v>112137</v>
      </c>
      <c r="B185" s="4" t="s">
        <v>775</v>
      </c>
      <c r="C185" s="4" t="s">
        <v>776</v>
      </c>
      <c r="D185" s="4" t="s">
        <v>24</v>
      </c>
      <c r="E185" s="4" t="s">
        <v>27</v>
      </c>
      <c r="F185" s="4">
        <v>36</v>
      </c>
      <c r="G185" s="4" t="str">
        <f t="shared" si="2"/>
        <v>adult</v>
      </c>
      <c r="H185" s="4" t="s">
        <v>748</v>
      </c>
      <c r="I185" s="4">
        <v>44767</v>
      </c>
      <c r="J185" s="4">
        <v>1.55</v>
      </c>
      <c r="K185" s="4">
        <v>82.1</v>
      </c>
      <c r="L185" s="4" t="s">
        <v>15</v>
      </c>
      <c r="M185" s="4">
        <v>400</v>
      </c>
      <c r="N185" s="4">
        <v>6</v>
      </c>
      <c r="O185" s="4">
        <v>358</v>
      </c>
      <c r="P185" s="4" t="s">
        <v>774</v>
      </c>
      <c r="Q185" s="4">
        <v>1</v>
      </c>
    </row>
    <row r="186" spans="1:17" x14ac:dyDescent="0.3">
      <c r="A186" s="4">
        <v>544958</v>
      </c>
      <c r="B186" s="4" t="s">
        <v>664</v>
      </c>
      <c r="C186" s="4" t="s">
        <v>665</v>
      </c>
      <c r="D186" s="4" t="s">
        <v>661</v>
      </c>
      <c r="E186" s="4" t="s">
        <v>666</v>
      </c>
      <c r="F186" s="4">
        <v>30</v>
      </c>
      <c r="G186" s="4" t="str">
        <f t="shared" si="2"/>
        <v>adult</v>
      </c>
      <c r="H186" s="4" t="s">
        <v>662</v>
      </c>
      <c r="I186" s="4">
        <v>44704</v>
      </c>
      <c r="J186" s="4">
        <v>1.77</v>
      </c>
      <c r="K186" s="4">
        <v>82.1</v>
      </c>
      <c r="L186" s="4" t="s">
        <v>59</v>
      </c>
      <c r="M186" s="4">
        <v>-53</v>
      </c>
      <c r="N186" s="4">
        <v>128</v>
      </c>
      <c r="O186" s="4">
        <v>140</v>
      </c>
      <c r="P186" s="4" t="s">
        <v>663</v>
      </c>
      <c r="Q186" s="4">
        <v>1</v>
      </c>
    </row>
    <row r="187" spans="1:17" x14ac:dyDescent="0.3">
      <c r="A187" s="4">
        <v>247005</v>
      </c>
      <c r="B187" s="4" t="s">
        <v>447</v>
      </c>
      <c r="C187" s="4" t="s">
        <v>448</v>
      </c>
      <c r="D187" s="4" t="s">
        <v>13</v>
      </c>
      <c r="E187" s="4" t="s">
        <v>19</v>
      </c>
      <c r="F187" s="4">
        <v>24</v>
      </c>
      <c r="G187" s="4" t="str">
        <f t="shared" si="2"/>
        <v>adult</v>
      </c>
      <c r="H187" s="4" t="s">
        <v>284</v>
      </c>
      <c r="I187" s="4">
        <v>44596</v>
      </c>
      <c r="J187" s="4">
        <v>1.8</v>
      </c>
      <c r="K187" s="4">
        <v>88.5</v>
      </c>
      <c r="L187" s="4" t="s">
        <v>59</v>
      </c>
      <c r="M187" s="4">
        <v>-13</v>
      </c>
      <c r="N187" s="4">
        <v>88</v>
      </c>
      <c r="O187" s="4">
        <v>109</v>
      </c>
      <c r="P187" s="4" t="s">
        <v>446</v>
      </c>
      <c r="Q187" s="4">
        <v>1</v>
      </c>
    </row>
    <row r="188" spans="1:17" x14ac:dyDescent="0.3">
      <c r="A188" s="4">
        <v>299915</v>
      </c>
      <c r="B188" s="4" t="s">
        <v>920</v>
      </c>
      <c r="C188" s="4" t="s">
        <v>921</v>
      </c>
      <c r="D188" s="4" t="s">
        <v>13</v>
      </c>
      <c r="E188" s="4" t="s">
        <v>19</v>
      </c>
      <c r="F188" s="4">
        <v>56</v>
      </c>
      <c r="G188" s="4" t="str">
        <f t="shared" si="2"/>
        <v>adult</v>
      </c>
      <c r="H188" s="4" t="s">
        <v>918</v>
      </c>
      <c r="I188" s="4">
        <v>44896</v>
      </c>
      <c r="J188" s="4">
        <v>1.77</v>
      </c>
      <c r="K188" s="4">
        <v>76.2</v>
      </c>
      <c r="L188" s="4" t="s">
        <v>15</v>
      </c>
      <c r="M188" s="4">
        <v>350</v>
      </c>
      <c r="N188" s="4">
        <v>7</v>
      </c>
      <c r="O188" s="4">
        <v>557</v>
      </c>
      <c r="P188" s="4" t="s">
        <v>919</v>
      </c>
      <c r="Q188" s="4">
        <v>1</v>
      </c>
    </row>
    <row r="189" spans="1:17" x14ac:dyDescent="0.3">
      <c r="A189" s="4">
        <v>20698</v>
      </c>
      <c r="B189" s="4" t="s">
        <v>547</v>
      </c>
      <c r="C189" s="4" t="s">
        <v>548</v>
      </c>
      <c r="D189" s="4" t="s">
        <v>13</v>
      </c>
      <c r="E189" s="4" t="s">
        <v>19</v>
      </c>
      <c r="F189" s="4">
        <v>29</v>
      </c>
      <c r="G189" s="4" t="str">
        <f t="shared" si="2"/>
        <v>adult</v>
      </c>
      <c r="H189" s="4" t="s">
        <v>545</v>
      </c>
      <c r="I189" s="4">
        <v>44774</v>
      </c>
      <c r="J189" s="4">
        <v>1.86</v>
      </c>
      <c r="K189" s="4">
        <v>97.5</v>
      </c>
      <c r="L189" s="4" t="s">
        <v>59</v>
      </c>
      <c r="M189" s="4">
        <v>-32</v>
      </c>
      <c r="N189" s="4">
        <v>107</v>
      </c>
      <c r="O189" s="4">
        <v>120</v>
      </c>
      <c r="P189" s="4" t="s">
        <v>546</v>
      </c>
      <c r="Q189" s="4">
        <v>1</v>
      </c>
    </row>
    <row r="190" spans="1:17" x14ac:dyDescent="0.3">
      <c r="A190" s="4">
        <v>522158</v>
      </c>
      <c r="B190" s="4" t="s">
        <v>958</v>
      </c>
      <c r="C190" s="4" t="s">
        <v>959</v>
      </c>
      <c r="D190" s="4" t="s">
        <v>13</v>
      </c>
      <c r="E190" s="4" t="s">
        <v>19</v>
      </c>
      <c r="F190" s="4">
        <v>60</v>
      </c>
      <c r="G190" s="4" t="str">
        <f t="shared" si="2"/>
        <v>adult</v>
      </c>
      <c r="H190" s="4" t="s">
        <v>956</v>
      </c>
      <c r="I190" s="4">
        <v>44815</v>
      </c>
      <c r="J190" s="4">
        <v>1.77</v>
      </c>
      <c r="K190" s="4">
        <v>74.8</v>
      </c>
      <c r="L190" s="4" t="s">
        <v>15</v>
      </c>
      <c r="M190" s="4">
        <v>140</v>
      </c>
      <c r="N190" s="4">
        <v>10</v>
      </c>
      <c r="O190" s="4">
        <v>609</v>
      </c>
      <c r="P190" s="4" t="s">
        <v>957</v>
      </c>
      <c r="Q190" s="4">
        <v>1</v>
      </c>
    </row>
    <row r="191" spans="1:17" x14ac:dyDescent="0.3">
      <c r="A191" s="4">
        <v>168610</v>
      </c>
      <c r="B191" s="4" t="s">
        <v>820</v>
      </c>
      <c r="C191" s="4" t="s">
        <v>821</v>
      </c>
      <c r="D191" s="4" t="s">
        <v>13</v>
      </c>
      <c r="E191" s="4" t="s">
        <v>19</v>
      </c>
      <c r="F191" s="4">
        <v>40</v>
      </c>
      <c r="G191" s="4" t="str">
        <f t="shared" si="2"/>
        <v>adult</v>
      </c>
      <c r="H191" s="4" t="s">
        <v>818</v>
      </c>
      <c r="I191" s="4">
        <v>44820</v>
      </c>
      <c r="J191" s="4">
        <v>1.55</v>
      </c>
      <c r="K191" s="4">
        <v>94.8</v>
      </c>
      <c r="L191" s="4" t="s">
        <v>15</v>
      </c>
      <c r="M191" s="4">
        <v>380</v>
      </c>
      <c r="N191" s="4">
        <v>9</v>
      </c>
      <c r="O191" s="4">
        <v>401</v>
      </c>
      <c r="P191" s="4" t="s">
        <v>819</v>
      </c>
      <c r="Q191" s="4">
        <v>1</v>
      </c>
    </row>
    <row r="192" spans="1:17" x14ac:dyDescent="0.3">
      <c r="A192" s="4">
        <v>1690</v>
      </c>
      <c r="B192" s="4" t="s">
        <v>65</v>
      </c>
      <c r="C192" s="4" t="s">
        <v>66</v>
      </c>
      <c r="D192" s="4" t="s">
        <v>13</v>
      </c>
      <c r="E192" s="4" t="s">
        <v>19</v>
      </c>
      <c r="F192" s="4">
        <v>28</v>
      </c>
      <c r="G192" s="4" t="str">
        <f t="shared" si="2"/>
        <v>adult</v>
      </c>
      <c r="H192" s="4" t="s">
        <v>63</v>
      </c>
      <c r="I192" s="4">
        <v>44599</v>
      </c>
      <c r="J192" s="4">
        <v>1.56</v>
      </c>
      <c r="K192" s="4">
        <v>89.8</v>
      </c>
      <c r="L192" s="4" t="s">
        <v>59</v>
      </c>
      <c r="M192" s="4">
        <v>368</v>
      </c>
      <c r="N192" s="4">
        <v>12</v>
      </c>
      <c r="O192" s="4">
        <v>108</v>
      </c>
      <c r="P192" s="4" t="s">
        <v>64</v>
      </c>
      <c r="Q192" s="4">
        <v>1</v>
      </c>
    </row>
    <row r="193" spans="1:17" x14ac:dyDescent="0.3">
      <c r="A193" s="4">
        <v>472642</v>
      </c>
      <c r="B193" s="4" t="s">
        <v>155</v>
      </c>
      <c r="C193" s="4" t="s">
        <v>156</v>
      </c>
      <c r="D193" s="4" t="s">
        <v>152</v>
      </c>
      <c r="E193" s="4" t="s">
        <v>157</v>
      </c>
      <c r="F193" s="4">
        <v>21</v>
      </c>
      <c r="G193" s="4" t="str">
        <f t="shared" si="2"/>
        <v>adult</v>
      </c>
      <c r="H193" s="4" t="s">
        <v>153</v>
      </c>
      <c r="I193" s="4">
        <v>44689</v>
      </c>
      <c r="J193" s="4">
        <v>1.8</v>
      </c>
      <c r="K193" s="4">
        <v>83.9</v>
      </c>
      <c r="L193" s="4" t="s">
        <v>59</v>
      </c>
      <c r="M193" s="4">
        <v>194</v>
      </c>
      <c r="N193" s="4">
        <v>31</v>
      </c>
      <c r="O193" s="4">
        <v>125</v>
      </c>
      <c r="P193" s="4" t="s">
        <v>154</v>
      </c>
      <c r="Q193" s="4">
        <v>1</v>
      </c>
    </row>
    <row r="194" spans="1:17" x14ac:dyDescent="0.3">
      <c r="A194" s="4">
        <v>1692338</v>
      </c>
      <c r="B194" s="4" t="s">
        <v>345</v>
      </c>
      <c r="C194" s="4" t="s">
        <v>346</v>
      </c>
      <c r="D194" s="4" t="s">
        <v>343</v>
      </c>
      <c r="E194" s="4" t="s">
        <v>347</v>
      </c>
      <c r="F194" s="4">
        <v>29</v>
      </c>
      <c r="G194" s="4" t="str">
        <f t="shared" si="2"/>
        <v>adult</v>
      </c>
      <c r="H194" s="4" t="s">
        <v>965</v>
      </c>
      <c r="I194" s="4" t="s">
        <v>965</v>
      </c>
      <c r="J194" s="4">
        <v>1.83</v>
      </c>
      <c r="K194" s="4">
        <v>87.1</v>
      </c>
      <c r="L194" s="4" t="s">
        <v>59</v>
      </c>
      <c r="M194" s="4">
        <v>20</v>
      </c>
      <c r="N194" s="4">
        <v>69</v>
      </c>
      <c r="O194" s="4">
        <v>188</v>
      </c>
      <c r="P194" s="4" t="s">
        <v>344</v>
      </c>
      <c r="Q194" s="4">
        <v>1</v>
      </c>
    </row>
    <row r="195" spans="1:17" x14ac:dyDescent="0.3">
      <c r="A195" s="4">
        <v>253911</v>
      </c>
      <c r="B195" s="4" t="s">
        <v>710</v>
      </c>
      <c r="C195" s="4" t="s">
        <v>711</v>
      </c>
      <c r="D195" s="4" t="s">
        <v>707</v>
      </c>
      <c r="E195" s="4" t="s">
        <v>712</v>
      </c>
      <c r="F195" s="4">
        <v>25</v>
      </c>
      <c r="G195" s="4" t="str">
        <f t="shared" ref="G195:G204" si="3">IF(F195&lt;18,"teen","adult")</f>
        <v>adult</v>
      </c>
      <c r="H195" s="4" t="s">
        <v>708</v>
      </c>
      <c r="I195" s="4">
        <v>44680</v>
      </c>
      <c r="J195" s="4">
        <v>1.8</v>
      </c>
      <c r="K195" s="4">
        <v>84.8</v>
      </c>
      <c r="L195" s="4" t="s">
        <v>59</v>
      </c>
      <c r="M195" s="4">
        <v>-59</v>
      </c>
      <c r="N195" s="4">
        <v>134</v>
      </c>
      <c r="O195" s="4">
        <v>192</v>
      </c>
      <c r="P195" s="4" t="s">
        <v>709</v>
      </c>
      <c r="Q195" s="4">
        <v>1</v>
      </c>
    </row>
    <row r="196" spans="1:17" x14ac:dyDescent="0.3">
      <c r="A196" s="4">
        <v>1523179</v>
      </c>
      <c r="B196" s="4" t="s">
        <v>406</v>
      </c>
      <c r="C196" s="4" t="s">
        <v>407</v>
      </c>
      <c r="D196" s="4" t="s">
        <v>403</v>
      </c>
      <c r="E196" s="4" t="s">
        <v>408</v>
      </c>
      <c r="F196" s="4">
        <v>30</v>
      </c>
      <c r="G196" s="4" t="str">
        <f t="shared" si="3"/>
        <v>adult</v>
      </c>
      <c r="H196" s="4" t="s">
        <v>404</v>
      </c>
      <c r="I196" s="4">
        <v>44628</v>
      </c>
      <c r="J196" s="4">
        <v>1.77</v>
      </c>
      <c r="K196" s="4">
        <v>77.099999999999994</v>
      </c>
      <c r="L196" s="4" t="s">
        <v>59</v>
      </c>
      <c r="M196" s="4">
        <v>-5</v>
      </c>
      <c r="N196" s="4">
        <v>80</v>
      </c>
      <c r="O196" s="4">
        <v>201</v>
      </c>
      <c r="P196" s="4" t="s">
        <v>405</v>
      </c>
      <c r="Q196" s="4">
        <v>1</v>
      </c>
    </row>
    <row r="197" spans="1:17" x14ac:dyDescent="0.3">
      <c r="A197" s="4">
        <v>33259</v>
      </c>
      <c r="B197" s="4" t="s">
        <v>869</v>
      </c>
      <c r="C197" s="4" t="s">
        <v>870</v>
      </c>
      <c r="D197" s="4" t="s">
        <v>13</v>
      </c>
      <c r="E197" s="4" t="s">
        <v>19</v>
      </c>
      <c r="F197" s="4">
        <v>50</v>
      </c>
      <c r="G197" s="4" t="str">
        <f t="shared" si="3"/>
        <v>adult</v>
      </c>
      <c r="H197" s="4" t="s">
        <v>867</v>
      </c>
      <c r="I197" s="4">
        <v>44819</v>
      </c>
      <c r="J197" s="4">
        <v>1.56</v>
      </c>
      <c r="K197" s="4">
        <v>85.3</v>
      </c>
      <c r="L197" s="4" t="s">
        <v>15</v>
      </c>
      <c r="M197" s="4">
        <v>590</v>
      </c>
      <c r="N197" s="4">
        <v>3</v>
      </c>
      <c r="O197" s="4">
        <v>503</v>
      </c>
      <c r="P197" s="4" t="s">
        <v>868</v>
      </c>
      <c r="Q197" s="4">
        <v>1</v>
      </c>
    </row>
    <row r="198" spans="1:17" x14ac:dyDescent="0.3">
      <c r="A198" s="4">
        <v>56292</v>
      </c>
      <c r="B198" s="4" t="s">
        <v>924</v>
      </c>
      <c r="C198" s="4" t="s">
        <v>429</v>
      </c>
      <c r="D198" s="4" t="s">
        <v>13</v>
      </c>
      <c r="E198" s="4" t="s">
        <v>19</v>
      </c>
      <c r="F198" s="4">
        <v>56</v>
      </c>
      <c r="G198" s="4" t="str">
        <f t="shared" si="3"/>
        <v>adult</v>
      </c>
      <c r="H198" s="4" t="s">
        <v>922</v>
      </c>
      <c r="I198" s="4">
        <v>44902</v>
      </c>
      <c r="J198" s="4">
        <v>1.83</v>
      </c>
      <c r="K198" s="4">
        <v>83.9</v>
      </c>
      <c r="L198" s="4" t="s">
        <v>15</v>
      </c>
      <c r="M198" s="4">
        <v>280</v>
      </c>
      <c r="N198" s="4">
        <v>8</v>
      </c>
      <c r="O198" s="4">
        <v>560</v>
      </c>
      <c r="P198" s="4" t="s">
        <v>923</v>
      </c>
      <c r="Q198" s="4">
        <v>1</v>
      </c>
    </row>
    <row r="199" spans="1:17" x14ac:dyDescent="0.3">
      <c r="A199" s="4">
        <v>35627</v>
      </c>
      <c r="B199" s="4" t="s">
        <v>56</v>
      </c>
      <c r="C199" s="4" t="s">
        <v>57</v>
      </c>
      <c r="D199" s="4" t="s">
        <v>13</v>
      </c>
      <c r="E199" s="4" t="s">
        <v>19</v>
      </c>
      <c r="F199" s="4">
        <v>30</v>
      </c>
      <c r="G199" s="4" t="str">
        <f t="shared" si="3"/>
        <v>adult</v>
      </c>
      <c r="H199" s="4" t="s">
        <v>54</v>
      </c>
      <c r="I199" s="4">
        <v>44802</v>
      </c>
      <c r="J199" s="4">
        <v>1.8</v>
      </c>
      <c r="K199" s="4">
        <v>86.2</v>
      </c>
      <c r="L199" s="4" t="s">
        <v>15</v>
      </c>
      <c r="M199" s="4">
        <v>485</v>
      </c>
      <c r="N199" s="4">
        <v>10</v>
      </c>
      <c r="O199" s="4">
        <v>309</v>
      </c>
      <c r="P199" s="4" t="s">
        <v>55</v>
      </c>
      <c r="Q199" s="4">
        <v>1</v>
      </c>
    </row>
    <row r="200" spans="1:17" x14ac:dyDescent="0.3">
      <c r="A200" s="4">
        <v>59899</v>
      </c>
      <c r="B200" s="4" t="s">
        <v>56</v>
      </c>
      <c r="C200" s="4" t="s">
        <v>917</v>
      </c>
      <c r="D200" s="4" t="s">
        <v>13</v>
      </c>
      <c r="E200" s="4" t="s">
        <v>19</v>
      </c>
      <c r="F200" s="4">
        <v>59</v>
      </c>
      <c r="G200" s="4" t="str">
        <f t="shared" si="3"/>
        <v>adult</v>
      </c>
      <c r="H200" s="4" t="s">
        <v>965</v>
      </c>
      <c r="I200" s="4" t="s">
        <v>965</v>
      </c>
      <c r="J200" s="4">
        <v>1.8</v>
      </c>
      <c r="K200" s="4">
        <v>82.6</v>
      </c>
      <c r="L200" s="4" t="s">
        <v>15</v>
      </c>
      <c r="M200" s="4">
        <v>390</v>
      </c>
      <c r="N200" s="4">
        <v>6</v>
      </c>
      <c r="O200" s="4">
        <v>559</v>
      </c>
      <c r="P200" s="4" t="s">
        <v>916</v>
      </c>
      <c r="Q200" s="4">
        <v>1</v>
      </c>
    </row>
    <row r="201" spans="1:17" x14ac:dyDescent="0.3">
      <c r="A201" s="4">
        <v>781908</v>
      </c>
      <c r="B201" s="4" t="s">
        <v>615</v>
      </c>
      <c r="C201" s="4" t="s">
        <v>616</v>
      </c>
      <c r="D201" s="4" t="s">
        <v>612</v>
      </c>
      <c r="E201" s="4" t="s">
        <v>617</v>
      </c>
      <c r="F201" s="4">
        <v>28</v>
      </c>
      <c r="G201" s="4" t="str">
        <f t="shared" si="3"/>
        <v>adult</v>
      </c>
      <c r="H201" s="4" t="s">
        <v>613</v>
      </c>
      <c r="I201" s="4">
        <v>44751</v>
      </c>
      <c r="J201" s="4">
        <v>1.74</v>
      </c>
      <c r="K201" s="4">
        <v>83</v>
      </c>
      <c r="L201" s="4" t="s">
        <v>59</v>
      </c>
      <c r="M201" s="4">
        <v>-44</v>
      </c>
      <c r="N201" s="4">
        <v>119</v>
      </c>
      <c r="O201" s="4">
        <v>164</v>
      </c>
      <c r="P201" s="4" t="s">
        <v>614</v>
      </c>
      <c r="Q201" s="4">
        <v>1</v>
      </c>
    </row>
    <row r="202" spans="1:17" x14ac:dyDescent="0.3">
      <c r="A202" s="4">
        <v>702092</v>
      </c>
      <c r="B202" s="4" t="s">
        <v>110</v>
      </c>
      <c r="C202" s="4" t="s">
        <v>111</v>
      </c>
      <c r="D202" s="4" t="s">
        <v>107</v>
      </c>
      <c r="E202" s="4" t="s">
        <v>112</v>
      </c>
      <c r="F202" s="4">
        <v>26</v>
      </c>
      <c r="G202" s="4" t="str">
        <f t="shared" si="3"/>
        <v>adult</v>
      </c>
      <c r="H202" s="4" t="s">
        <v>108</v>
      </c>
      <c r="I202" s="4">
        <v>44688</v>
      </c>
      <c r="J202" s="4">
        <v>1.55</v>
      </c>
      <c r="K202" s="4">
        <v>86.2</v>
      </c>
      <c r="L202" s="4" t="s">
        <v>59</v>
      </c>
      <c r="M202" s="4">
        <v>245</v>
      </c>
      <c r="N202" s="4">
        <v>21</v>
      </c>
      <c r="O202" s="4">
        <v>130</v>
      </c>
      <c r="P202" s="4" t="s">
        <v>109</v>
      </c>
      <c r="Q202" s="4">
        <v>1</v>
      </c>
    </row>
    <row r="203" spans="1:17" x14ac:dyDescent="0.3">
      <c r="A203" s="4">
        <v>327773</v>
      </c>
      <c r="B203" s="4" t="s">
        <v>626</v>
      </c>
      <c r="C203" s="4" t="s">
        <v>627</v>
      </c>
      <c r="D203" s="4" t="s">
        <v>623</v>
      </c>
      <c r="E203" s="4" t="s">
        <v>628</v>
      </c>
      <c r="F203" s="4">
        <v>31</v>
      </c>
      <c r="G203" s="4" t="str">
        <f t="shared" si="3"/>
        <v>adult</v>
      </c>
      <c r="H203" s="4" t="s">
        <v>624</v>
      </c>
      <c r="I203" s="4">
        <v>44687</v>
      </c>
      <c r="J203" s="4">
        <v>1.8</v>
      </c>
      <c r="K203" s="4">
        <v>72.099999999999994</v>
      </c>
      <c r="L203" s="4" t="s">
        <v>59</v>
      </c>
      <c r="M203" s="4">
        <v>-46</v>
      </c>
      <c r="N203" s="4">
        <v>121</v>
      </c>
      <c r="O203" s="4">
        <v>151</v>
      </c>
      <c r="P203" s="4" t="s">
        <v>625</v>
      </c>
      <c r="Q203" s="4">
        <v>1</v>
      </c>
    </row>
    <row r="204" spans="1:17" x14ac:dyDescent="0.3">
      <c r="A204" s="4">
        <v>755342</v>
      </c>
      <c r="B204" s="4" t="s">
        <v>457</v>
      </c>
      <c r="C204" s="4" t="s">
        <v>458</v>
      </c>
      <c r="D204" s="4" t="s">
        <v>13</v>
      </c>
      <c r="E204" s="4" t="s">
        <v>19</v>
      </c>
      <c r="F204" s="4">
        <v>25</v>
      </c>
      <c r="G204" s="4" t="str">
        <f t="shared" si="3"/>
        <v>adult</v>
      </c>
      <c r="H204" s="4" t="s">
        <v>455</v>
      </c>
      <c r="I204" s="4">
        <v>44603</v>
      </c>
      <c r="J204" s="4">
        <v>1.83</v>
      </c>
      <c r="K204" s="4">
        <v>93</v>
      </c>
      <c r="L204" s="4" t="s">
        <v>59</v>
      </c>
      <c r="M204" s="4">
        <v>-15</v>
      </c>
      <c r="N204" s="4">
        <v>90</v>
      </c>
      <c r="O204" s="4">
        <v>107</v>
      </c>
      <c r="P204" s="4" t="s">
        <v>456</v>
      </c>
      <c r="Q204" s="4">
        <v>1</v>
      </c>
    </row>
  </sheetData>
  <sortState xmlns:xlrd2="http://schemas.microsoft.com/office/spreadsheetml/2017/richdata2" ref="A2:Q204">
    <sortCondition ref="B1:B204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E84A6-9BC0-454A-B43F-798D1A99D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Aarthi Murthy</cp:lastModifiedBy>
  <dcterms:created xsi:type="dcterms:W3CDTF">2024-01-14T13:27:42Z</dcterms:created>
  <dcterms:modified xsi:type="dcterms:W3CDTF">2026-02-27T13:58:24Z</dcterms:modified>
</cp:coreProperties>
</file>