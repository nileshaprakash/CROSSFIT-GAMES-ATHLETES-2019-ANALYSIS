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da8c0ca784bb7eb/Desktop/entri/mini project/"/>
    </mc:Choice>
  </mc:AlternateContent>
  <xr:revisionPtr revIDLastSave="170" documentId="13_ncr:1_{94879675-545D-4D15-8ABD-50E9F3E30C1E}" xr6:coauthVersionLast="47" xr6:coauthVersionMax="47" xr10:uidLastSave="{B2A906D6-E60A-4438-923D-873AAF73153B}"/>
  <bookViews>
    <workbookView xWindow="-108" yWindow="-108" windowWidth="23256" windowHeight="12456" xr2:uid="{580CCE93-ECBD-4986-9643-E3EFD4DF7714}"/>
  </bookViews>
  <sheets>
    <sheet name="Sheet1" sheetId="2" r:id="rId1"/>
  </sheets>
  <definedNames>
    <definedName name="_xlnm._FilterDatabase" localSheetId="0" hidden="1">Sheet1!$J$1:$Q$192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2" l="1"/>
  <c r="F2" i="2"/>
  <c r="F3" i="2"/>
  <c r="F4" i="2"/>
  <c r="F5" i="2"/>
  <c r="F6" i="2"/>
  <c r="F7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</calcChain>
</file>

<file path=xl/sharedStrings.xml><?xml version="1.0" encoding="utf-8"?>
<sst xmlns="http://schemas.openxmlformats.org/spreadsheetml/2006/main" count="1371" uniqueCount="932">
  <si>
    <t>Australia</t>
  </si>
  <si>
    <t>CrossFit Mayhem</t>
  </si>
  <si>
    <t>ACT</t>
  </si>
  <si>
    <t>b8a69-P163097_3-184.jpg</t>
  </si>
  <si>
    <t>Tia-Clair</t>
  </si>
  <si>
    <t>Toomey</t>
  </si>
  <si>
    <t>AU</t>
  </si>
  <si>
    <t>Norway</t>
  </si>
  <si>
    <t>CrossFit Oslo</t>
  </si>
  <si>
    <t>df164-P120480_7-184.jpg</t>
  </si>
  <si>
    <t>Kristin</t>
  </si>
  <si>
    <t>Holte</t>
  </si>
  <si>
    <t>NO</t>
  </si>
  <si>
    <t>New Zealand</t>
  </si>
  <si>
    <t>CrossFit Yas</t>
  </si>
  <si>
    <t>101af-P264512_2-184.jpg</t>
  </si>
  <si>
    <t>Jamie</t>
  </si>
  <si>
    <t>Greene</t>
  </si>
  <si>
    <t>NZ</t>
  </si>
  <si>
    <t>Iceland</t>
  </si>
  <si>
    <t>CrossFit New England</t>
  </si>
  <si>
    <t>ee582-P55121_22-184.jpg</t>
  </si>
  <si>
    <t>KatrÃ­n Tanja</t>
  </si>
  <si>
    <t>Davidsdottir</t>
  </si>
  <si>
    <t>IS</t>
  </si>
  <si>
    <t>United States</t>
  </si>
  <si>
    <t>CrossFit Spot</t>
  </si>
  <si>
    <t>17c8c-P305891_3-184.jpg</t>
  </si>
  <si>
    <t>Karissa</t>
  </si>
  <si>
    <t>Pearce</t>
  </si>
  <si>
    <t>US</t>
  </si>
  <si>
    <t>4c00e-P671666_8-184.jpg</t>
  </si>
  <si>
    <t>Haley</t>
  </si>
  <si>
    <t>Adams</t>
  </si>
  <si>
    <t>Centerville CrossFit</t>
  </si>
  <si>
    <t>7a4f2-P174547_5-184.jpg</t>
  </si>
  <si>
    <t>Amanda</t>
  </si>
  <si>
    <t>Barnhart</t>
  </si>
  <si>
    <t>Streamline CrossFit</t>
  </si>
  <si>
    <t>69340-P592472_6-184.jpg</t>
  </si>
  <si>
    <t>Bethany</t>
  </si>
  <si>
    <t>Shadburne</t>
  </si>
  <si>
    <t>Greece</t>
  </si>
  <si>
    <t>CrossFit Kallithea</t>
  </si>
  <si>
    <t>5b3c7-P252900_1-184.jpg</t>
  </si>
  <si>
    <t>Anna</t>
  </si>
  <si>
    <t>Fragkou</t>
  </si>
  <si>
    <t>GR</t>
  </si>
  <si>
    <t>CrossFit Zug</t>
  </si>
  <si>
    <t>4641e-P19501_6-184.jpg</t>
  </si>
  <si>
    <t>Thuridur Erla</t>
  </si>
  <si>
    <t>Helgadottir</t>
  </si>
  <si>
    <t>CrossFit Envy</t>
  </si>
  <si>
    <t>CUT</t>
  </si>
  <si>
    <t>59c42-P349097_4-184.jpg</t>
  </si>
  <si>
    <t>Danielle</t>
  </si>
  <si>
    <t>Brandon</t>
  </si>
  <si>
    <t>CrossFit ReykjavÃ­k</t>
  </si>
  <si>
    <t>15f17-P18588_4-184.jpg</t>
  </si>
  <si>
    <t>Annie</t>
  </si>
  <si>
    <t>Thorisdottir</t>
  </si>
  <si>
    <t>Canada</t>
  </si>
  <si>
    <t>CrossFit Colosseum</t>
  </si>
  <si>
    <t>9bab8-P239148_10-184.jpg</t>
  </si>
  <si>
    <t>Carolyne</t>
  </si>
  <si>
    <t>Prevost</t>
  </si>
  <si>
    <t>CA</t>
  </si>
  <si>
    <t>Italy</t>
  </si>
  <si>
    <t>Diablo CrossFit</t>
  </si>
  <si>
    <t>a0400-P37537_14-184.jpg</t>
  </si>
  <si>
    <t>Alessandra</t>
  </si>
  <si>
    <t>Pichelli</t>
  </si>
  <si>
    <t>IT</t>
  </si>
  <si>
    <t>Hungary</t>
  </si>
  <si>
    <t>CrossFit BBros</t>
  </si>
  <si>
    <t>c1412-P591912_5-184.jpg</t>
  </si>
  <si>
    <t>Laura</t>
  </si>
  <si>
    <t>Horvath</t>
  </si>
  <si>
    <t>HU</t>
  </si>
  <si>
    <t>CrossFit T-Town</t>
  </si>
  <si>
    <t>16c0e-P168305_8-184.jpg</t>
  </si>
  <si>
    <t>Brooke</t>
  </si>
  <si>
    <t>Wells</t>
  </si>
  <si>
    <t>CrossFit Saint Jerome</t>
  </si>
  <si>
    <t>fb6c4-P103389_9-184.jpg</t>
  </si>
  <si>
    <t>Carol-Ann</t>
  </si>
  <si>
    <t>Reason-Thibault</t>
  </si>
  <si>
    <t>United Kingdom</t>
  </si>
  <si>
    <t>CrossFit Black Five</t>
  </si>
  <si>
    <t>0e63d-P2536_14-184.jpg</t>
  </si>
  <si>
    <t>Samantha</t>
  </si>
  <si>
    <t>Briggs</t>
  </si>
  <si>
    <t>GB</t>
  </si>
  <si>
    <t>22eb9-P484380_3-184.jpg</t>
  </si>
  <si>
    <t>Emily</t>
  </si>
  <si>
    <t>Rolfe</t>
  </si>
  <si>
    <t>CrossFit Sudurnes</t>
  </si>
  <si>
    <t>53249-P8859_6-184.jpg</t>
  </si>
  <si>
    <t>RagnheiÃ°ur Sara</t>
  </si>
  <si>
    <t>Sigmundsdottir</t>
  </si>
  <si>
    <t>Ireland</t>
  </si>
  <si>
    <t>CrossFit Berserk</t>
  </si>
  <si>
    <t>69815-P239442_5-184.jpg</t>
  </si>
  <si>
    <t>Emma</t>
  </si>
  <si>
    <t>McQuaid</t>
  </si>
  <si>
    <t>IE</t>
  </si>
  <si>
    <t>Slovakia</t>
  </si>
  <si>
    <t>CrossFit Alpha Prime</t>
  </si>
  <si>
    <t>f5632-P698210_3-184.jpg</t>
  </si>
  <si>
    <t>Karin</t>
  </si>
  <si>
    <t>FreyovÃ¡</t>
  </si>
  <si>
    <t>SK</t>
  </si>
  <si>
    <t>CrossFit Urge</t>
  </si>
  <si>
    <t>082c4-P21556_8-184.jpg</t>
  </si>
  <si>
    <t>Madeline</t>
  </si>
  <si>
    <t>Sturt</t>
  </si>
  <si>
    <t>CrossFit Queens</t>
  </si>
  <si>
    <t>55677-P115892_12-184.jpg</t>
  </si>
  <si>
    <t>Meg</t>
  </si>
  <si>
    <t>Reardon</t>
  </si>
  <si>
    <t>CrossFit Mentality</t>
  </si>
  <si>
    <t>25dfc-P252691_6-184.jpg</t>
  </si>
  <si>
    <t>Feeroozeh</t>
  </si>
  <si>
    <t>Saghafi</t>
  </si>
  <si>
    <t>CrossFit Northlake</t>
  </si>
  <si>
    <t>d678c-P93497_6-184.jpg</t>
  </si>
  <si>
    <t>Mekenzie</t>
  </si>
  <si>
    <t>Riley</t>
  </si>
  <si>
    <t>SUBU CrossFit</t>
  </si>
  <si>
    <t>47a8d-P670000_4-184.jpg</t>
  </si>
  <si>
    <t>Dani</t>
  </si>
  <si>
    <t>Speegle</t>
  </si>
  <si>
    <t>cc303-P245403_2-184.jpg</t>
  </si>
  <si>
    <t>Colleen</t>
  </si>
  <si>
    <t>Fotsch</t>
  </si>
  <si>
    <t>Sweden</t>
  </si>
  <si>
    <t>b64c8-P2088_7-184.jpg</t>
  </si>
  <si>
    <t>Camilla</t>
  </si>
  <si>
    <t>Salomonsson Hellman</t>
  </si>
  <si>
    <t>SE</t>
  </si>
  <si>
    <t>CrossFit Dux</t>
  </si>
  <si>
    <t>1cb92-P477709_2-184.jpg</t>
  </si>
  <si>
    <t>Courtney</t>
  </si>
  <si>
    <t>CrossFit Vertex</t>
  </si>
  <si>
    <t>e32e0-P531598_13-184.jpg</t>
  </si>
  <si>
    <t>Paige</t>
  </si>
  <si>
    <t>Semenza</t>
  </si>
  <si>
    <t>CrossFit Kungsholmen</t>
  </si>
  <si>
    <t>45a8f-P887297_1-184.jpg</t>
  </si>
  <si>
    <t>Tall</t>
  </si>
  <si>
    <t>CrossFit Iron Industry</t>
  </si>
  <si>
    <t>e5119-P106129_14-184.jpg</t>
  </si>
  <si>
    <t>Carrie</t>
  </si>
  <si>
    <t>Beamer</t>
  </si>
  <si>
    <t>France</t>
  </si>
  <si>
    <t>CrossFit Lyon</t>
  </si>
  <si>
    <t>e0d82-P330326_3-184.jpg</t>
  </si>
  <si>
    <t>Carole</t>
  </si>
  <si>
    <t>Castellani</t>
  </si>
  <si>
    <t>FR</t>
  </si>
  <si>
    <t>CrossFit Ballina</t>
  </si>
  <si>
    <t>82da0-P43198_4-184.jpg</t>
  </si>
  <si>
    <t>Lindsay</t>
  </si>
  <si>
    <t>Vaughan</t>
  </si>
  <si>
    <t>Switzerland</t>
  </si>
  <si>
    <t>bd785-P390443_1-184.jpg</t>
  </si>
  <si>
    <t>Alessia Joy</t>
  </si>
  <si>
    <t>WÃ¤lchli</t>
  </si>
  <si>
    <t>CH</t>
  </si>
  <si>
    <t>Chile</t>
  </si>
  <si>
    <t>CrossFit El Camino</t>
  </si>
  <si>
    <t>c96ac-P635438_2-184.jpg</t>
  </si>
  <si>
    <t>Simona</t>
  </si>
  <si>
    <t>Quintana</t>
  </si>
  <si>
    <t>CL</t>
  </si>
  <si>
    <t>CrossFit Riders</t>
  </si>
  <si>
    <t>cd349-P796219_2-184.jpg</t>
  </si>
  <si>
    <t>Hanna</t>
  </si>
  <si>
    <t>Karlsson</t>
  </si>
  <si>
    <t>CrossFit EHOH</t>
  </si>
  <si>
    <t>08a04-P96750_7-184.jpg</t>
  </si>
  <si>
    <t>OddrÃºn Eik</t>
  </si>
  <si>
    <t>Gylfadottir</t>
  </si>
  <si>
    <t>CrossFit Tradition</t>
  </si>
  <si>
    <t>f4527-P9759_2-184.jpg</t>
  </si>
  <si>
    <t>Cheryl</t>
  </si>
  <si>
    <t>Nasso</t>
  </si>
  <si>
    <t>CrossFit 915</t>
  </si>
  <si>
    <t>733ab-P279929_7-184.jpg</t>
  </si>
  <si>
    <t>Rachel</t>
  </si>
  <si>
    <t>Garibay</t>
  </si>
  <si>
    <t>South Africa</t>
  </si>
  <si>
    <t>1a090-P505225_1-184.jpg</t>
  </si>
  <si>
    <t>Michelle</t>
  </si>
  <si>
    <t>Merand</t>
  </si>
  <si>
    <t>ZA</t>
  </si>
  <si>
    <t>Bosnia and Herzegovina</t>
  </si>
  <si>
    <t>Tantum CrossFit</t>
  </si>
  <si>
    <t>d51a9-P667707_5-184.jpg</t>
  </si>
  <si>
    <t>Ksenija</t>
  </si>
  <si>
    <t>Kecman</t>
  </si>
  <si>
    <t>BA</t>
  </si>
  <si>
    <t>acfbd-P238208_6-184.jpg</t>
  </si>
  <si>
    <t>Katie</t>
  </si>
  <si>
    <t>Trombetta</t>
  </si>
  <si>
    <t>Netherlands</t>
  </si>
  <si>
    <t>CrossFit Punt Uit</t>
  </si>
  <si>
    <t>ca838-P248235_6-184.jpg</t>
  </si>
  <si>
    <t>Leonie</t>
  </si>
  <si>
    <t>Henrich</t>
  </si>
  <si>
    <t>NL</t>
  </si>
  <si>
    <t>Belgium</t>
  </si>
  <si>
    <t>InnerFight CrossFit DXB</t>
  </si>
  <si>
    <t>127c3-P103617_4-184.jpg</t>
  </si>
  <si>
    <t>Carmen</t>
  </si>
  <si>
    <t>Bosmans</t>
  </si>
  <si>
    <t>BE</t>
  </si>
  <si>
    <t>C23 CrossFit</t>
  </si>
  <si>
    <t>162ae-P299053_2-184.jpg</t>
  </si>
  <si>
    <t>Jacqueline</t>
  </si>
  <si>
    <t>DahlstrÃ¸m</t>
  </si>
  <si>
    <t>Cyprus</t>
  </si>
  <si>
    <t>CrossFit Limassol</t>
  </si>
  <si>
    <t>d31dd-P258629_1-184.jpg</t>
  </si>
  <si>
    <t>Thelma</t>
  </si>
  <si>
    <t>Christoforou</t>
  </si>
  <si>
    <t>CY</t>
  </si>
  <si>
    <t>Paraguay</t>
  </si>
  <si>
    <t>Kingbull CrossFit</t>
  </si>
  <si>
    <t>67b53-P452187_3-184.jpg</t>
  </si>
  <si>
    <t>Carol</t>
  </si>
  <si>
    <t>Colling-Romero</t>
  </si>
  <si>
    <t>PY</t>
  </si>
  <si>
    <t>CrossFit Vero Beach</t>
  </si>
  <si>
    <t>70cfb-P871307_4-184.jpg</t>
  </si>
  <si>
    <t>McKenzie</t>
  </si>
  <si>
    <t>Flinchum</t>
  </si>
  <si>
    <t>Germany</t>
  </si>
  <si>
    <t>CrossFit Jackhammer</t>
  </si>
  <si>
    <t>52c51-P527011_4-184.jpg</t>
  </si>
  <si>
    <t>Lisa</t>
  </si>
  <si>
    <t>Eble</t>
  </si>
  <si>
    <t>DE</t>
  </si>
  <si>
    <t>Root 18 CrossFit</t>
  </si>
  <si>
    <t>9a3bd-P151555_4-184.jpg</t>
  </si>
  <si>
    <t>Erin</t>
  </si>
  <si>
    <t>Vandendriessche</t>
  </si>
  <si>
    <t>Russian Federation</t>
  </si>
  <si>
    <t>CrossFit 19.05</t>
  </si>
  <si>
    <t>e50bc-P238026_2-184.jpg</t>
  </si>
  <si>
    <t>Anastasiya</t>
  </si>
  <si>
    <t>Ganina</t>
  </si>
  <si>
    <t>RU</t>
  </si>
  <si>
    <t>Turkey</t>
  </si>
  <si>
    <t>CrossFit SkyLight</t>
  </si>
  <si>
    <t>fdbbe-P350442_5-184.jpg</t>
  </si>
  <si>
    <t>Neyran</t>
  </si>
  <si>
    <t>Guneli</t>
  </si>
  <si>
    <t>TR</t>
  </si>
  <si>
    <t>Crucible CrossFit</t>
  </si>
  <si>
    <t>da460-P115239_4-184.jpg</t>
  </si>
  <si>
    <t>Haas</t>
  </si>
  <si>
    <t>Mexico</t>
  </si>
  <si>
    <t>CrossFit Tigran</t>
  </si>
  <si>
    <t>9a8bc-P242149_5-184.jpg</t>
  </si>
  <si>
    <t>Brenda</t>
  </si>
  <si>
    <t>Castro</t>
  </si>
  <si>
    <t>MX</t>
  </si>
  <si>
    <t>Finland</t>
  </si>
  <si>
    <t>CrossFit Kreis 9</t>
  </si>
  <si>
    <t>4afa1-P39517_4-184.jpg</t>
  </si>
  <si>
    <t>Emilia</t>
  </si>
  <si>
    <t>Leppanen</t>
  </si>
  <si>
    <t>FI</t>
  </si>
  <si>
    <t>CrossFit Hanuman</t>
  </si>
  <si>
    <t>763c8-P120277_6-184.jpg</t>
  </si>
  <si>
    <t>Sabrina</t>
  </si>
  <si>
    <t>Caron</t>
  </si>
  <si>
    <t>CrossFit RI</t>
  </si>
  <si>
    <t>bbd68-P120247_2-184.jpg</t>
  </si>
  <si>
    <t>Katelin</t>
  </si>
  <si>
    <t>Van Zyl</t>
  </si>
  <si>
    <t>Bulgaria</t>
  </si>
  <si>
    <t>CrossFit Valeo</t>
  </si>
  <si>
    <t>b8f90-P215510_5-184.jpg</t>
  </si>
  <si>
    <t>Ralitza</t>
  </si>
  <si>
    <t>Koterlitzova</t>
  </si>
  <si>
    <t>BG</t>
  </si>
  <si>
    <t>Croatia</t>
  </si>
  <si>
    <t>d6dbe-P120265_4-184.jpg</t>
  </si>
  <si>
    <t>Tamara</t>
  </si>
  <si>
    <t>Zulim</t>
  </si>
  <si>
    <t>HR</t>
  </si>
  <si>
    <t>Colombia</t>
  </si>
  <si>
    <t>Faster CrossFit</t>
  </si>
  <si>
    <t>71d0d-P1299203_3-184.jpg</t>
  </si>
  <si>
    <t>Maria Camila</t>
  </si>
  <si>
    <t>Quintero</t>
  </si>
  <si>
    <t>CO</t>
  </si>
  <si>
    <t>Blues City CrossFit</t>
  </si>
  <si>
    <t>2a499-P235110_4-184.jpg</t>
  </si>
  <si>
    <t>Taylor</t>
  </si>
  <si>
    <t>Streid</t>
  </si>
  <si>
    <t>Israel</t>
  </si>
  <si>
    <t>CrossFit White City</t>
  </si>
  <si>
    <t>8e861-P855131_2-184.jpg</t>
  </si>
  <si>
    <t>Nicole</t>
  </si>
  <si>
    <t>Pettel</t>
  </si>
  <si>
    <t>IL</t>
  </si>
  <si>
    <t>Brazil</t>
  </si>
  <si>
    <t>CrossFit Gurkha</t>
  </si>
  <si>
    <t>04e97-P485089_5-184.jpg</t>
  </si>
  <si>
    <t>Renata</t>
  </si>
  <si>
    <t>Pimentel</t>
  </si>
  <si>
    <t>BR</t>
  </si>
  <si>
    <t>Trinidad and Tobago</t>
  </si>
  <si>
    <t>Igone CrossFit</t>
  </si>
  <si>
    <t>c08ce-P244718_1-184.jpg</t>
  </si>
  <si>
    <t>Lyndsay</t>
  </si>
  <si>
    <t>Murray</t>
  </si>
  <si>
    <t>TT</t>
  </si>
  <si>
    <t>Japan</t>
  </si>
  <si>
    <t>CrossFit Minatomirai</t>
  </si>
  <si>
    <t>47204-P1055578_2-184.jpg</t>
  </si>
  <si>
    <t>Akiko</t>
  </si>
  <si>
    <t>Kamitani</t>
  </si>
  <si>
    <t>JP</t>
  </si>
  <si>
    <t>Guatemala</t>
  </si>
  <si>
    <t>CrossFit Tecun Uman</t>
  </si>
  <si>
    <t>9b212-P359849_9-184.jpg</t>
  </si>
  <si>
    <t>Vera</t>
  </si>
  <si>
    <t>Valdez</t>
  </si>
  <si>
    <t>GT</t>
  </si>
  <si>
    <t>Luxembourg</t>
  </si>
  <si>
    <t>Reebok CrossFit Valens</t>
  </si>
  <si>
    <t>ed5a6-P331478_1-184.jpg</t>
  </si>
  <si>
    <t>Jacky</t>
  </si>
  <si>
    <t>Schmitt</t>
  </si>
  <si>
    <t>LU</t>
  </si>
  <si>
    <t>Philippines</t>
  </si>
  <si>
    <t>Avant Garde CrossFit</t>
  </si>
  <si>
    <t>dfb4b-P477570_4-184.jpg</t>
  </si>
  <si>
    <t>Kristen</t>
  </si>
  <si>
    <t>Lim</t>
  </si>
  <si>
    <t>PH</t>
  </si>
  <si>
    <t>Austria</t>
  </si>
  <si>
    <t>202f1-P227678_3-184.jpg</t>
  </si>
  <si>
    <t>Vanessa</t>
  </si>
  <si>
    <t>Wagner</t>
  </si>
  <si>
    <t>AT</t>
  </si>
  <si>
    <t>India</t>
  </si>
  <si>
    <t>CrossFit Wolvish</t>
  </si>
  <si>
    <t>pukie.png</t>
  </si>
  <si>
    <t>Sanjana</t>
  </si>
  <si>
    <t>Sivasalapathi</t>
  </si>
  <si>
    <t>IN</t>
  </si>
  <si>
    <t>Ukraine</t>
  </si>
  <si>
    <t>CrossFit October</t>
  </si>
  <si>
    <t>61057-P156732_2-184.jpg</t>
  </si>
  <si>
    <t>Ganna</t>
  </si>
  <si>
    <t>Almazova</t>
  </si>
  <si>
    <t>UA</t>
  </si>
  <si>
    <t>Denmark</t>
  </si>
  <si>
    <t>Lofteriet CrossFit</t>
  </si>
  <si>
    <t>WD</t>
  </si>
  <si>
    <t>b4c66-P695821_4-184.jpg</t>
  </si>
  <si>
    <t>Julie</t>
  </si>
  <si>
    <t>HougÃ¥rd</t>
  </si>
  <si>
    <t>DK</t>
  </si>
  <si>
    <t>CrossFit Walleye</t>
  </si>
  <si>
    <t>afea2-P468509_1-184.jpg</t>
  </si>
  <si>
    <t>Alice</t>
  </si>
  <si>
    <t>Mille</t>
  </si>
  <si>
    <t>Costa Rica</t>
  </si>
  <si>
    <t>Morpho CrossFit</t>
  </si>
  <si>
    <t>2c947-P517771_2-184.jpg</t>
  </si>
  <si>
    <t>Marisol</t>
  </si>
  <si>
    <t>Umana</t>
  </si>
  <si>
    <t>CR</t>
  </si>
  <si>
    <t>Poland</t>
  </si>
  <si>
    <t>CrossFit 72D</t>
  </si>
  <si>
    <t>51d72-P764556_4-184.jpg</t>
  </si>
  <si>
    <t>Gabriela</t>
  </si>
  <si>
    <t>MigaÅ‚a</t>
  </si>
  <si>
    <t>PL</t>
  </si>
  <si>
    <t>Spain</t>
  </si>
  <si>
    <t>CrossFit Norte Redondela</t>
  </si>
  <si>
    <t>9154c-P683305_3-184.jpg</t>
  </si>
  <si>
    <t>Sara Alicia</t>
  </si>
  <si>
    <t>Fernandez Costas</t>
  </si>
  <si>
    <t>ES</t>
  </si>
  <si>
    <t>Peru</t>
  </si>
  <si>
    <t>Altair CrossFit</t>
  </si>
  <si>
    <t>80020-P295501_4-184.jpg</t>
  </si>
  <si>
    <t>Sofia</t>
  </si>
  <si>
    <t>Bermeo</t>
  </si>
  <si>
    <t>PE</t>
  </si>
  <si>
    <t>Malta</t>
  </si>
  <si>
    <t>Jessica</t>
  </si>
  <si>
    <t>Borg Ghigo</t>
  </si>
  <si>
    <t>MT</t>
  </si>
  <si>
    <t>Nicaragua</t>
  </si>
  <si>
    <t>Freakin CrossFit</t>
  </si>
  <si>
    <t>4a502-P978472_1-184.jpg</t>
  </si>
  <si>
    <t>Fernanda</t>
  </si>
  <si>
    <t>Saavedra</t>
  </si>
  <si>
    <t>NI</t>
  </si>
  <si>
    <t>Czech Republic</t>
  </si>
  <si>
    <t>CrossFit With Us</t>
  </si>
  <si>
    <t>a4796-P663979_1-184.jpg</t>
  </si>
  <si>
    <t>Sona</t>
  </si>
  <si>
    <t>Karaskova</t>
  </si>
  <si>
    <t>CZ</t>
  </si>
  <si>
    <t>Oman</t>
  </si>
  <si>
    <t>CrossFit Engine 38</t>
  </si>
  <si>
    <t>b92ff-P498697_3-184.jpg</t>
  </si>
  <si>
    <t>Pasent</t>
  </si>
  <si>
    <t>Medhat</t>
  </si>
  <si>
    <t>OM</t>
  </si>
  <si>
    <t>Dominican Republic</t>
  </si>
  <si>
    <t>48a12-P1351483_1-184.jpg</t>
  </si>
  <si>
    <t>Sheerly</t>
  </si>
  <si>
    <t>Bueno Reyes</t>
  </si>
  <si>
    <t>DO</t>
  </si>
  <si>
    <t>Belize</t>
  </si>
  <si>
    <t>CrossFit San Pedro Town</t>
  </si>
  <si>
    <t>a6c01-P922058_1-184.jpg</t>
  </si>
  <si>
    <t>Cricel</t>
  </si>
  <si>
    <t>Castillo</t>
  </si>
  <si>
    <t>BZ</t>
  </si>
  <si>
    <t>United Arab Emirates</t>
  </si>
  <si>
    <t>CrossFit MetaliZe</t>
  </si>
  <si>
    <t>b28bf-P953791_2-184.jpg</t>
  </si>
  <si>
    <t>Shahad</t>
  </si>
  <si>
    <t>Budebs</t>
  </si>
  <si>
    <t>AE</t>
  </si>
  <si>
    <t>Estonia</t>
  </si>
  <si>
    <t>Tallinn CrossFit</t>
  </si>
  <si>
    <t>247da-P1217058_4-184.jpg</t>
  </si>
  <si>
    <t>Anastassia</t>
  </si>
  <si>
    <t>Psenitsnaja</t>
  </si>
  <si>
    <t>EE</t>
  </si>
  <si>
    <t>Indonesia</t>
  </si>
  <si>
    <t>CrossFit Limburg</t>
  </si>
  <si>
    <t>3bfbc-P899345_1-184.jpg</t>
  </si>
  <si>
    <t>Citra</t>
  </si>
  <si>
    <t>Ramaniya</t>
  </si>
  <si>
    <t>ID</t>
  </si>
  <si>
    <t>Kuwait</t>
  </si>
  <si>
    <t>CrossFit 965</t>
  </si>
  <si>
    <t>7a441-P297753_3-184.jpg</t>
  </si>
  <si>
    <t>Hajer</t>
  </si>
  <si>
    <t>Jamal</t>
  </si>
  <si>
    <t>KW</t>
  </si>
  <si>
    <t>Palestinian Territory</t>
  </si>
  <si>
    <t>CrossFit Ramallah</t>
  </si>
  <si>
    <t>92818-P661734_2-184.jpg</t>
  </si>
  <si>
    <t>Marian</t>
  </si>
  <si>
    <t>Khoury</t>
  </si>
  <si>
    <t>PS</t>
  </si>
  <si>
    <t>Namibia</t>
  </si>
  <si>
    <t>dd19f-P106380_2-184.jpg</t>
  </si>
  <si>
    <t>Lara</t>
  </si>
  <si>
    <t>Erlank</t>
  </si>
  <si>
    <t>NA</t>
  </si>
  <si>
    <t>Panama</t>
  </si>
  <si>
    <t>Reebok CrossFit PTY</t>
  </si>
  <si>
    <t>e9518-P1237131_1-184.jpg</t>
  </si>
  <si>
    <t>Luaneth</t>
  </si>
  <si>
    <t>Alveo</t>
  </si>
  <si>
    <t>PA</t>
  </si>
  <si>
    <t>Malaysia</t>
  </si>
  <si>
    <t>67c12-P451905_1-184.jpg</t>
  </si>
  <si>
    <t>Amira</t>
  </si>
  <si>
    <t>Ayob</t>
  </si>
  <si>
    <t>MY</t>
  </si>
  <si>
    <t>Bolivia</t>
  </si>
  <si>
    <t>Barra Norte CrossFit</t>
  </si>
  <si>
    <t>575cb-P737357_4-184.jpg</t>
  </si>
  <si>
    <t>Martha</t>
  </si>
  <si>
    <t>Berrocal</t>
  </si>
  <si>
    <t>BO</t>
  </si>
  <si>
    <t>Romania</t>
  </si>
  <si>
    <t>0bf75-P456619_5-184.jpg</t>
  </si>
  <si>
    <t>Oana Catalina</t>
  </si>
  <si>
    <t>Chelmus</t>
  </si>
  <si>
    <t>RO</t>
  </si>
  <si>
    <t>Belarus</t>
  </si>
  <si>
    <t>Mad Hall CrossFit</t>
  </si>
  <si>
    <t>a58e2-P685943_1-184.jpg</t>
  </si>
  <si>
    <t>Tatiana</t>
  </si>
  <si>
    <t>Diakou</t>
  </si>
  <si>
    <t>BY</t>
  </si>
  <si>
    <t>Barbados</t>
  </si>
  <si>
    <t>CrossFit Towards</t>
  </si>
  <si>
    <t>89fcb-P239902_2-184.jpg</t>
  </si>
  <si>
    <t>Kira</t>
  </si>
  <si>
    <t>Oliver</t>
  </si>
  <si>
    <t>BB</t>
  </si>
  <si>
    <t>Ecuador</t>
  </si>
  <si>
    <t>Lycan CrossFit</t>
  </si>
  <si>
    <t>2985b-P239210_3-184.jpg</t>
  </si>
  <si>
    <t>Andrea</t>
  </si>
  <si>
    <t>Rodriguez</t>
  </si>
  <si>
    <t>EC</t>
  </si>
  <si>
    <t>Argentina</t>
  </si>
  <si>
    <t>9fb3f-P534577_4-184.jpg</t>
  </si>
  <si>
    <t>Melina</t>
  </si>
  <si>
    <t>AR</t>
  </si>
  <si>
    <t>CrossFit Tijger Valley</t>
  </si>
  <si>
    <t>2b314-P101929_8-184.jpg</t>
  </si>
  <si>
    <t>Dina</t>
  </si>
  <si>
    <t>Swift</t>
  </si>
  <si>
    <t>Suriname</t>
  </si>
  <si>
    <t>Rock CrossFit Paramaribo</t>
  </si>
  <si>
    <t>95aa1-P1280595_1-184.jpg</t>
  </si>
  <si>
    <t>Ava</t>
  </si>
  <si>
    <t>Zalman</t>
  </si>
  <si>
    <t>SR</t>
  </si>
  <si>
    <t>Korea, Republic of</t>
  </si>
  <si>
    <t>CrossFit Zest</t>
  </si>
  <si>
    <t>8161e-P56664_8-184.jpg</t>
  </si>
  <si>
    <t>Heidi</t>
  </si>
  <si>
    <t>Choi</t>
  </si>
  <si>
    <t>KR</t>
  </si>
  <si>
    <t>Singapore</t>
  </si>
  <si>
    <t>CrossFit Mobilus</t>
  </si>
  <si>
    <t>a06df-P444527_6-184.jpg</t>
  </si>
  <si>
    <t>Landy Pui Boon</t>
  </si>
  <si>
    <t>Eng</t>
  </si>
  <si>
    <t>SG</t>
  </si>
  <si>
    <t>Egypt</t>
  </si>
  <si>
    <t>CrossFit Tycoons</t>
  </si>
  <si>
    <t>6dcab-P1192351_3-184.jpg</t>
  </si>
  <si>
    <t>Aya</t>
  </si>
  <si>
    <t>Fouad</t>
  </si>
  <si>
    <t>EG</t>
  </si>
  <si>
    <t>Uruguay</t>
  </si>
  <si>
    <t>CrossFit Del Sur</t>
  </si>
  <si>
    <t>527ab-P345836_15-184.jpg</t>
  </si>
  <si>
    <t>Victoria</t>
  </si>
  <si>
    <t>Frascolla</t>
  </si>
  <si>
    <t>UY</t>
  </si>
  <si>
    <t>Syrian Arab Republic</t>
  </si>
  <si>
    <t>CrossFit Al Ain</t>
  </si>
  <si>
    <t>8b303-P1203632_1-184.jpg</t>
  </si>
  <si>
    <t>Alaa</t>
  </si>
  <si>
    <t>Hannora</t>
  </si>
  <si>
    <t>SY</t>
  </si>
  <si>
    <t>China</t>
  </si>
  <si>
    <t>CrossFit X Ray</t>
  </si>
  <si>
    <t>b9435-P893571_1-184.jpg</t>
  </si>
  <si>
    <t>Tsai-Jui</t>
  </si>
  <si>
    <t>Hung</t>
  </si>
  <si>
    <t>CN</t>
  </si>
  <si>
    <t>Brunei Darussalam</t>
  </si>
  <si>
    <t>Reebok CrossFit 673</t>
  </si>
  <si>
    <t>70370-P586509_3-184.jpg</t>
  </si>
  <si>
    <t>Nina</t>
  </si>
  <si>
    <t>Juna</t>
  </si>
  <si>
    <t>BN</t>
  </si>
  <si>
    <t>Morocco</t>
  </si>
  <si>
    <t>CrossFit Ain Diab</t>
  </si>
  <si>
    <t>a709f-P1037933_2-184.jpg</t>
  </si>
  <si>
    <t>Sanaa</t>
  </si>
  <si>
    <t>Mandar</t>
  </si>
  <si>
    <t>MA</t>
  </si>
  <si>
    <t>Kenya</t>
  </si>
  <si>
    <t>CrossFit TDS (Inactive)</t>
  </si>
  <si>
    <t>014fc-P1111705_1-184.jpg</t>
  </si>
  <si>
    <t>Sheena</t>
  </si>
  <si>
    <t>Miller</t>
  </si>
  <si>
    <t>KE</t>
  </si>
  <si>
    <t>Honduras</t>
  </si>
  <si>
    <t>4fb38-P687711_1-184.jpg</t>
  </si>
  <si>
    <t>Perez</t>
  </si>
  <si>
    <t>HN</t>
  </si>
  <si>
    <t>Portugal</t>
  </si>
  <si>
    <t>CrossFit Feira</t>
  </si>
  <si>
    <t>7e476-P382954_2-184.jpg</t>
  </si>
  <si>
    <t>Sara</t>
  </si>
  <si>
    <t>Pinto</t>
  </si>
  <si>
    <t>PT</t>
  </si>
  <si>
    <t>Tunisia</t>
  </si>
  <si>
    <t>Reebok CrossFit Louvre</t>
  </si>
  <si>
    <t>fa495-P106999_5-184.jpg</t>
  </si>
  <si>
    <t>Sanki</t>
  </si>
  <si>
    <t>TN</t>
  </si>
  <si>
    <t>Lebanon</t>
  </si>
  <si>
    <t>CrossFit 309</t>
  </si>
  <si>
    <t>892e3-P1169213_1-184.jpg</t>
  </si>
  <si>
    <t>Shanine</t>
  </si>
  <si>
    <t>LB</t>
  </si>
  <si>
    <t>Lithuania</t>
  </si>
  <si>
    <t>Patriot CrossFit</t>
  </si>
  <si>
    <t>6a0f9-P246355_1-184.jpg</t>
  </si>
  <si>
    <t>Vilija</t>
  </si>
  <si>
    <t>Teel</t>
  </si>
  <si>
    <t>LT</t>
  </si>
  <si>
    <t>El Salvador</t>
  </si>
  <si>
    <t>CrossFit Fortaleza</t>
  </si>
  <si>
    <t>930f8-P671201_1-184.jpg</t>
  </si>
  <si>
    <t>Patricia</t>
  </si>
  <si>
    <t>Trujillo</t>
  </si>
  <si>
    <t>SV</t>
  </si>
  <si>
    <t>Guyana</t>
  </si>
  <si>
    <t>CrossFit 592</t>
  </si>
  <si>
    <t>69fd3-P1131171_2-184.jpg</t>
  </si>
  <si>
    <t>Delice</t>
  </si>
  <si>
    <t>Adonis</t>
  </si>
  <si>
    <t>GY</t>
  </si>
  <si>
    <t>Jordan</t>
  </si>
  <si>
    <t>CrossFit 962</t>
  </si>
  <si>
    <t>6645e-P419506_4-184.jpg</t>
  </si>
  <si>
    <t>Dema</t>
  </si>
  <si>
    <t>Al Zebdieh</t>
  </si>
  <si>
    <t>JO</t>
  </si>
  <si>
    <t>Saudi Arabia</t>
  </si>
  <si>
    <t>CrossFit AlKhobar</t>
  </si>
  <si>
    <t>8ca67-P768482_1-184.jpg</t>
  </si>
  <si>
    <t>Amal</t>
  </si>
  <si>
    <t>Alshahrani</t>
  </si>
  <si>
    <t>SA</t>
  </si>
  <si>
    <t>Mozambique</t>
  </si>
  <si>
    <t>Super Set CrossFit</t>
  </si>
  <si>
    <t>48d77-P1521380_1-184.jpg</t>
  </si>
  <si>
    <t>Zaida</t>
  </si>
  <si>
    <t>Amade</t>
  </si>
  <si>
    <t>MZ</t>
  </si>
  <si>
    <t>Samoa</t>
  </si>
  <si>
    <t>CrossFit NWA</t>
  </si>
  <si>
    <t>d8398-P488881_2-184.jpg</t>
  </si>
  <si>
    <t>MariaNive</t>
  </si>
  <si>
    <t>Clark</t>
  </si>
  <si>
    <t>WS</t>
  </si>
  <si>
    <t>Venezuela</t>
  </si>
  <si>
    <t>CrossFit Soul Miami</t>
  </si>
  <si>
    <t>3109d-P277184_5-184.jpg</t>
  </si>
  <si>
    <t>Gonzalez-Marin</t>
  </si>
  <si>
    <t>VE</t>
  </si>
  <si>
    <t>Latvia</t>
  </si>
  <si>
    <t>ca655-P683201_2-184.jpg</t>
  </si>
  <si>
    <t>Krista</t>
  </si>
  <si>
    <t>Kraskura</t>
  </si>
  <si>
    <t>LV</t>
  </si>
  <si>
    <t>Bahamas</t>
  </si>
  <si>
    <t>CrossFit Potcake</t>
  </si>
  <si>
    <t>6dd13-P280553_2-184.jpg</t>
  </si>
  <si>
    <t>Chanelle</t>
  </si>
  <si>
    <t>Munroe</t>
  </si>
  <si>
    <t>BS</t>
  </si>
  <si>
    <t>Pakistan</t>
  </si>
  <si>
    <t>Norwottuck CrossFit</t>
  </si>
  <si>
    <t>e4975-P975294_2-184.jpg</t>
  </si>
  <si>
    <t>Mishka</t>
  </si>
  <si>
    <t>Murad</t>
  </si>
  <si>
    <t>PK</t>
  </si>
  <si>
    <t>Viet Nam</t>
  </si>
  <si>
    <t>CrossFit Thao Dien</t>
  </si>
  <si>
    <t>6bfa4-P1176528_1-184.jpg</t>
  </si>
  <si>
    <t>Trang</t>
  </si>
  <si>
    <t>Nguyen</t>
  </si>
  <si>
    <t>VN</t>
  </si>
  <si>
    <t>Botswana</t>
  </si>
  <si>
    <t>CrossFit Gaborone</t>
  </si>
  <si>
    <t>0f8c9-P1218177_1-184.jpg</t>
  </si>
  <si>
    <t>Cingiwe Ciegy</t>
  </si>
  <si>
    <t>Seru</t>
  </si>
  <si>
    <t>BW</t>
  </si>
  <si>
    <t>Andorra</t>
  </si>
  <si>
    <t>La Borda CrossFit</t>
  </si>
  <si>
    <t>5202e-P1243131_2-184.jpg</t>
  </si>
  <si>
    <t>Miriam</t>
  </si>
  <si>
    <t>Torra</t>
  </si>
  <si>
    <t>AD</t>
  </si>
  <si>
    <t>Serbia</t>
  </si>
  <si>
    <t>f57ff-P1521928_1-184.jpg</t>
  </si>
  <si>
    <t>TrumbetaÅ¡</t>
  </si>
  <si>
    <t>RS</t>
  </si>
  <si>
    <t>Sri Lanka</t>
  </si>
  <si>
    <t>CrossFit Ceylon</t>
  </si>
  <si>
    <t>823ae-P661943_1-184.jpg</t>
  </si>
  <si>
    <t>Keshini</t>
  </si>
  <si>
    <t>Vitharana</t>
  </si>
  <si>
    <t>LK</t>
  </si>
  <si>
    <t>Mauritius</t>
  </si>
  <si>
    <t>UPT CrossFit</t>
  </si>
  <si>
    <t>Melanie</t>
  </si>
  <si>
    <t>Yip Woon Sun</t>
  </si>
  <si>
    <t>MU</t>
  </si>
  <si>
    <t>T2 CrossFit</t>
  </si>
  <si>
    <t>8bf0d-P9440_13-184.jpg</t>
  </si>
  <si>
    <t>Tobias</t>
  </si>
  <si>
    <t>CrossFit Saint Helens</t>
  </si>
  <si>
    <t>b663a-P16973_6-184.jpg</t>
  </si>
  <si>
    <t>Carleen</t>
  </si>
  <si>
    <t>Mathews</t>
  </si>
  <si>
    <t>CrossFit Training Yard</t>
  </si>
  <si>
    <t>ca744-P8015_6-184.jpg</t>
  </si>
  <si>
    <t>Rebecca</t>
  </si>
  <si>
    <t>Voigt Miller</t>
  </si>
  <si>
    <t>CrossFit Billings</t>
  </si>
  <si>
    <t>f204b-P313257_1-184.jpg</t>
  </si>
  <si>
    <t>Hope</t>
  </si>
  <si>
    <t>Cicero</t>
  </si>
  <si>
    <t>CrossFit Active</t>
  </si>
  <si>
    <t>619ba-P235218_4-184.jpg</t>
  </si>
  <si>
    <t>Alethea</t>
  </si>
  <si>
    <t>Boon</t>
  </si>
  <si>
    <t>CrossFit Turicum</t>
  </si>
  <si>
    <t>f9da1-P290001_8-184.jpg</t>
  </si>
  <si>
    <t>Ursula</t>
  </si>
  <si>
    <t>Fasel</t>
  </si>
  <si>
    <t>Etto CrossFit</t>
  </si>
  <si>
    <t>200a7-P527325_6-184.jpg</t>
  </si>
  <si>
    <t>Susana</t>
  </si>
  <si>
    <t>Rodrigues Etto</t>
  </si>
  <si>
    <t>CrossFit Invictus</t>
  </si>
  <si>
    <t>Jenn</t>
  </si>
  <si>
    <t>Ryan</t>
  </si>
  <si>
    <t>CrossFit SEO</t>
  </si>
  <si>
    <t>9a98a-P26745_4-184.jpg</t>
  </si>
  <si>
    <t>Jolene</t>
  </si>
  <si>
    <t>Quirke</t>
  </si>
  <si>
    <t>Great Woods CrossFit</t>
  </si>
  <si>
    <t>11635-P121354_1-184.jpg</t>
  </si>
  <si>
    <t>Corrin</t>
  </si>
  <si>
    <t>Lemieux</t>
  </si>
  <si>
    <t>CrossFit Train 97333</t>
  </si>
  <si>
    <t>71296-P259327_11-184.jpg</t>
  </si>
  <si>
    <t>Joey</t>
  </si>
  <si>
    <t>Kimdon</t>
  </si>
  <si>
    <t>CrossFit Southampton</t>
  </si>
  <si>
    <t>0fa8a-P107129_1-184.jpg</t>
  </si>
  <si>
    <t>Kelly</t>
  </si>
  <si>
    <t>Friel</t>
  </si>
  <si>
    <t>CrossFit Indestri</t>
  </si>
  <si>
    <t>4c061-P421299_1-184.jpg</t>
  </si>
  <si>
    <t>Deanna</t>
  </si>
  <si>
    <t>Posey</t>
  </si>
  <si>
    <t>Codite CrossFit</t>
  </si>
  <si>
    <t>5ac62-P226482_2-184.jpg</t>
  </si>
  <si>
    <t>Jenna</t>
  </si>
  <si>
    <t>Larson</t>
  </si>
  <si>
    <t>Battersea District CrossFit</t>
  </si>
  <si>
    <t>b32a9-P434123_1-184.jpg</t>
  </si>
  <si>
    <t>Alexis</t>
  </si>
  <si>
    <t>Rufus</t>
  </si>
  <si>
    <t>CrossFit Majestic</t>
  </si>
  <si>
    <t>bea07-P256330_7-184.jpg</t>
  </si>
  <si>
    <t>Suozzi</t>
  </si>
  <si>
    <t>CrossFit Springfield</t>
  </si>
  <si>
    <t>c07cf-P172716_6-184.jpg</t>
  </si>
  <si>
    <t>Melissa</t>
  </si>
  <si>
    <t>Wistrom</t>
  </si>
  <si>
    <t>1f43b-P650145_1-184.jpg</t>
  </si>
  <si>
    <t>Kim</t>
  </si>
  <si>
    <t>Mullins</t>
  </si>
  <si>
    <t>CrossFit Adm</t>
  </si>
  <si>
    <t>ea1cd-P15182_13-184.jpg</t>
  </si>
  <si>
    <t>Stephanie</t>
  </si>
  <si>
    <t>Roy</t>
  </si>
  <si>
    <t>CrossFit Viento</t>
  </si>
  <si>
    <t>fb886-P12348_5-184.jpg</t>
  </si>
  <si>
    <t>Karen</t>
  </si>
  <si>
    <t>McCadam</t>
  </si>
  <si>
    <t>CrossFit Trison</t>
  </si>
  <si>
    <t>90575-P9184_11-184.jpg</t>
  </si>
  <si>
    <t>Janet</t>
  </si>
  <si>
    <t>Black</t>
  </si>
  <si>
    <t>Spartan CrossFit</t>
  </si>
  <si>
    <t>27b53-P244482_5-184.jpg</t>
  </si>
  <si>
    <t>Semma</t>
  </si>
  <si>
    <t>Burba</t>
  </si>
  <si>
    <t>Endeavor Fitness CrossFit Invermere</t>
  </si>
  <si>
    <t>be7b0-P21214_9-184.jpg</t>
  </si>
  <si>
    <t>Jolaine</t>
  </si>
  <si>
    <t>Undershute</t>
  </si>
  <si>
    <t>CrossFit Advanced</t>
  </si>
  <si>
    <t>d16f3-P413700_4-184.jpg</t>
  </si>
  <si>
    <t>Tracy</t>
  </si>
  <si>
    <t>O'Connell</t>
  </si>
  <si>
    <t>CrossFit Reston</t>
  </si>
  <si>
    <t>29bee-P294840_1-184.jpg</t>
  </si>
  <si>
    <t>Brennan</t>
  </si>
  <si>
    <t>Pee Dee CrossFit</t>
  </si>
  <si>
    <t>ef9b6-P178647_2-184.jpg</t>
  </si>
  <si>
    <t>Abbott</t>
  </si>
  <si>
    <t>CrossFit AllStar</t>
  </si>
  <si>
    <t>755c1-P8770_4-184.jpg</t>
  </si>
  <si>
    <t>Brost</t>
  </si>
  <si>
    <t>C4 CrossFit</t>
  </si>
  <si>
    <t>35cb9-P8618_9-184.jpg</t>
  </si>
  <si>
    <t>Aida</t>
  </si>
  <si>
    <t>Koepplinger</t>
  </si>
  <si>
    <t>5ceb5-P50423_10-184.jpg</t>
  </si>
  <si>
    <t>Jennifer</t>
  </si>
  <si>
    <t>Dieter</t>
  </si>
  <si>
    <t>CrossFit Berloga</t>
  </si>
  <si>
    <t>97325-P586578_1-184.jpg</t>
  </si>
  <si>
    <t>Elena</t>
  </si>
  <si>
    <t>Kulik</t>
  </si>
  <si>
    <t>Cottontown CrossFit</t>
  </si>
  <si>
    <t>7a80c-P710834_8-184.jpg</t>
  </si>
  <si>
    <t>Jana</t>
  </si>
  <si>
    <t>Slyder</t>
  </si>
  <si>
    <t>CrossFit The Club</t>
  </si>
  <si>
    <t>6cc80-P42565_3-184.jpg</t>
  </si>
  <si>
    <t>Chris</t>
  </si>
  <si>
    <t>Nelson</t>
  </si>
  <si>
    <t>CrossFit Aurora Central</t>
  </si>
  <si>
    <t>ee5cb-P109033_6-184.jpg</t>
  </si>
  <si>
    <t>Joyanne</t>
  </si>
  <si>
    <t>Cooper</t>
  </si>
  <si>
    <t>CrossFit Louvre II</t>
  </si>
  <si>
    <t>df19f-P213252_7-184.jpg</t>
  </si>
  <si>
    <t>Francoise</t>
  </si>
  <si>
    <t>Mahier</t>
  </si>
  <si>
    <t>CrossFit Tayburun</t>
  </si>
  <si>
    <t>1f1e4-P729204_1-184.jpg</t>
  </si>
  <si>
    <t>Maricruz</t>
  </si>
  <si>
    <t>Prieto</t>
  </si>
  <si>
    <t>ab2f7-P321495_10-184.jpg</t>
  </si>
  <si>
    <t>Belinda</t>
  </si>
  <si>
    <t>Halcrow</t>
  </si>
  <si>
    <t>CrossFit Coeur D'Alene</t>
  </si>
  <si>
    <t>22f40-P505635_3-184.jpg</t>
  </si>
  <si>
    <t>Tia</t>
  </si>
  <si>
    <t>Vesser</t>
  </si>
  <si>
    <t>CrossFit EGA</t>
  </si>
  <si>
    <t>7881e-P80344_7-184.jpg</t>
  </si>
  <si>
    <t>Alexia</t>
  </si>
  <si>
    <t>Fineman</t>
  </si>
  <si>
    <t>CrossFit Torian</t>
  </si>
  <si>
    <t>d3aa0-P195717_1-184.jpg</t>
  </si>
  <si>
    <t>Deborah</t>
  </si>
  <si>
    <t>Schedue</t>
  </si>
  <si>
    <t>CrossFit Nordic</t>
  </si>
  <si>
    <t>3935d-P55291_4-184.jpg</t>
  </si>
  <si>
    <t>Clevenvik</t>
  </si>
  <si>
    <t>CrossFit Saskatoon</t>
  </si>
  <si>
    <t>1b636-P13983_4-184.jpg</t>
  </si>
  <si>
    <t>Laurie</t>
  </si>
  <si>
    <t>Meschishnick</t>
  </si>
  <si>
    <t>Custer CrossFit</t>
  </si>
  <si>
    <t>aebfb-P19241_6-184.jpg</t>
  </si>
  <si>
    <t>Linda</t>
  </si>
  <si>
    <t>Elstun</t>
  </si>
  <si>
    <t>CrossFit Vlaardingen</t>
  </si>
  <si>
    <t>e69ff-P27530_3-184.jpg</t>
  </si>
  <si>
    <t>Marion</t>
  </si>
  <si>
    <t>Valkenburg</t>
  </si>
  <si>
    <t>CrossFit San Benito</t>
  </si>
  <si>
    <t>cb35b-P29279_9-184.jpg</t>
  </si>
  <si>
    <t>Hylie</t>
  </si>
  <si>
    <t>Thompson</t>
  </si>
  <si>
    <t>CrossFit Type 44</t>
  </si>
  <si>
    <t>60d96-P215328_5-184.jpg</t>
  </si>
  <si>
    <t>April</t>
  </si>
  <si>
    <t>Watkins</t>
  </si>
  <si>
    <t>9929f-P24334_3-184.jpg</t>
  </si>
  <si>
    <t>Lynne</t>
  </si>
  <si>
    <t>Knapman</t>
  </si>
  <si>
    <t>CrossFit Origin</t>
  </si>
  <si>
    <t>fdb82-P261786_4-184.jpg</t>
  </si>
  <si>
    <t>Judith</t>
  </si>
  <si>
    <t>Tynan</t>
  </si>
  <si>
    <t>CrossFit Westchase Largo</t>
  </si>
  <si>
    <t>d2917-P100338_8-184.jpg</t>
  </si>
  <si>
    <t>Sue</t>
  </si>
  <si>
    <t>Velott</t>
  </si>
  <si>
    <t>Functional Strength CrossFit</t>
  </si>
  <si>
    <t>880d4-P13813_3-184.jpg</t>
  </si>
  <si>
    <t>Debbie</t>
  </si>
  <si>
    <t>Downing</t>
  </si>
  <si>
    <t>CrossFit Vex</t>
  </si>
  <si>
    <t>ea150-P1900_5-184.jpg</t>
  </si>
  <si>
    <t>Mary Beth</t>
  </si>
  <si>
    <t>Prodromides</t>
  </si>
  <si>
    <t>CrossFit West Vancouver</t>
  </si>
  <si>
    <t>Susan</t>
  </si>
  <si>
    <t>Clarke</t>
  </si>
  <si>
    <t>CrossFit Lindsay</t>
  </si>
  <si>
    <t>McGill</t>
  </si>
  <si>
    <t>CrossFit Central Wellington</t>
  </si>
  <si>
    <t>0708b-P145039_1-184.jpg</t>
  </si>
  <si>
    <t>Pauline</t>
  </si>
  <si>
    <t>Sciascia</t>
  </si>
  <si>
    <t>Roughrider CrossFit (departed)</t>
  </si>
  <si>
    <t>73510-P819703_2-184.jpg</t>
  </si>
  <si>
    <t>Lawson</t>
  </si>
  <si>
    <t>57bd9-P243666_1-184.jpg</t>
  </si>
  <si>
    <t>Diana</t>
  </si>
  <si>
    <t>Flynn</t>
  </si>
  <si>
    <t>CrossFit Uncommon</t>
  </si>
  <si>
    <t>433bb-P198927_3-184.jpg</t>
  </si>
  <si>
    <t>Holt</t>
  </si>
  <si>
    <t>Reebok CrossFit Medfield</t>
  </si>
  <si>
    <t>a6012-P312883_7-184.jpg</t>
  </si>
  <si>
    <t>Carol Lynn</t>
  </si>
  <si>
    <t>Thistle</t>
  </si>
  <si>
    <t>Ft. Wright CrossFit</t>
  </si>
  <si>
    <t>0b3ce-P32842_4-184.jpg</t>
  </si>
  <si>
    <t>Elizabeth</t>
  </si>
  <si>
    <t>Cole</t>
  </si>
  <si>
    <t>CrossFit Living The Dream Ajax</t>
  </si>
  <si>
    <t>10f1f-P702085_9-184.jpg</t>
  </si>
  <si>
    <t>Christine</t>
  </si>
  <si>
    <t>Long</t>
  </si>
  <si>
    <t>CrossFit Lions</t>
  </si>
  <si>
    <t>d55e0-P62910_4-184.jpg</t>
  </si>
  <si>
    <t>Debby</t>
  </si>
  <si>
    <t>Cook</t>
  </si>
  <si>
    <t>LAST NAME</t>
  </si>
  <si>
    <t>FIRST NAME</t>
  </si>
  <si>
    <t>COUNTRY NAME</t>
  </si>
  <si>
    <t>COUNTRY CODE</t>
  </si>
  <si>
    <t>AGE</t>
  </si>
  <si>
    <t>CATEGORY</t>
  </si>
  <si>
    <t>OVERALL SCORE</t>
  </si>
  <si>
    <t>OVERALL RANK</t>
  </si>
  <si>
    <t>NO OF RECORDS</t>
  </si>
  <si>
    <t>HEIGHT</t>
  </si>
  <si>
    <t>AFFILIATE</t>
  </si>
  <si>
    <t>AFFILIATE NAME</t>
  </si>
  <si>
    <t>WEIGHT</t>
  </si>
  <si>
    <t>STATUS</t>
  </si>
  <si>
    <t>BIBID</t>
  </si>
  <si>
    <t>PROFILEPICS KEY</t>
  </si>
  <si>
    <t>COMPETITORID</t>
  </si>
  <si>
    <t>Unknown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</si>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</sst>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DB0F37-33D2-4AA5-B2E3-C5DFD828877B}" name="Table1" displayName="Table1" ref="A1:Q192" totalsRowShown="0">
  <autoFilter ref="A1:Q192" xr:uid="{23DB0F37-33D2-4AA5-B2E3-C5DFD828877B}"/>
  <tableColumns count="17">
    <tableColumn id="1" xr3:uid="{54A4CBF2-3B41-4BDE-B1E5-0E117D4191B6}" name="FIRST NAME"/>
    <tableColumn id="22" xr3:uid="{EA980172-F192-4CDA-BD22-8DAFCDB6DC0D}" name="LAST NAME"/>
    <tableColumn id="23" xr3:uid="{E7893334-BEC8-422D-A2BA-1CC9B891D795}" name="COUNTRY NAME"/>
    <tableColumn id="24" xr3:uid="{CF7AFA80-8EBF-474E-95A5-E8B78C07E183}" name="COUNTRY CODE"/>
    <tableColumn id="25" xr3:uid="{ECFF271C-90C7-47A2-AB14-DFC5D49B4A39}" name="AGE"/>
    <tableColumn id="26" xr3:uid="{919668EE-6742-4237-8D22-858BC470D4B7}" name="CATEGORY" dataDxfId="0">
      <calculatedColumnFormula>IF(E2&lt;18,"teen","adult")</calculatedColumnFormula>
    </tableColumn>
    <tableColumn id="28" xr3:uid="{A2153344-2486-48E6-8D72-C2D2AB4368F4}" name="OVERALL SCORE"/>
    <tableColumn id="29" xr3:uid="{4EDBD488-6A90-4E8F-AE8E-9A5482A98AD9}" name="OVERALL RANK"/>
    <tableColumn id="30" xr3:uid="{1B0E5BD5-8C27-4D3F-96C3-7E45A658374E}" name="NO OF RECORDS"/>
    <tableColumn id="2" xr3:uid="{D67F936F-1355-4975-9B69-2B75BA48738C}" name="HEIGHT"/>
    <tableColumn id="3" xr3:uid="{0D0D4256-3B16-4C6D-971D-FA60D04B4C14}" name="AFFILIATE"/>
    <tableColumn id="6" xr3:uid="{D94742D7-3AE0-4B5B-827C-ADEC78E7C2FB}" name="AFFILIATE NAME"/>
    <tableColumn id="5" xr3:uid="{1D96E7CA-C817-434D-8DDB-95219CB3E1DB}" name="WEIGHT"/>
    <tableColumn id="7" xr3:uid="{C87D3166-DD81-4037-B196-C38915A28ABD}" name="STATUS"/>
    <tableColumn id="8" xr3:uid="{ED888A24-2064-49EE-9766-61B072C62171}" name="BIBID"/>
    <tableColumn id="9" xr3:uid="{6E11DDF6-A948-4633-86D1-456886C5DCEE}" name="PROFILEPICS KEY"/>
    <tableColumn id="10" xr3:uid="{B16F7F04-DE4F-4D74-A6D3-3C19CA89EE4F}" name="COMPETITOR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16486-A47B-4CF0-A750-DED53A869985}">
  <dimension ref="A1:Q192"/>
  <sheetViews>
    <sheetView tabSelected="1" topLeftCell="G1" workbookViewId="0">
      <selection activeCell="D8" sqref="D8"/>
    </sheetView>
  </sheetViews>
  <sheetFormatPr defaultRowHeight="14.4" x14ac:dyDescent="0.3"/>
  <cols>
    <col min="1" max="1" width="20.44140625" customWidth="1"/>
    <col min="2" max="2" width="15.21875" customWidth="1"/>
    <col min="3" max="3" width="22.21875" customWidth="1"/>
    <col min="4" max="4" width="17.44140625" customWidth="1"/>
    <col min="5" max="5" width="13.5546875" customWidth="1"/>
    <col min="6" max="6" width="17.33203125" customWidth="1"/>
    <col min="7" max="7" width="19.33203125" customWidth="1"/>
    <col min="8" max="8" width="25.88671875" customWidth="1"/>
    <col min="9" max="9" width="20" customWidth="1"/>
    <col min="10" max="10" width="19.44140625" customWidth="1"/>
    <col min="11" max="11" width="19.88671875" customWidth="1"/>
    <col min="12" max="12" width="26.5546875" customWidth="1"/>
    <col min="13" max="13" width="20.6640625" customWidth="1"/>
    <col min="14" max="14" width="10.77734375" customWidth="1"/>
    <col min="15" max="15" width="20.21875" customWidth="1"/>
    <col min="16" max="16" width="23.33203125" customWidth="1"/>
    <col min="17" max="17" width="22.21875" customWidth="1"/>
  </cols>
  <sheetData>
    <row r="1" spans="1:17" x14ac:dyDescent="0.3">
      <c r="A1" t="s">
        <v>914</v>
      </c>
      <c r="B1" t="s">
        <v>913</v>
      </c>
      <c r="C1" t="s">
        <v>915</v>
      </c>
      <c r="D1" t="s">
        <v>916</v>
      </c>
      <c r="E1" t="s">
        <v>917</v>
      </c>
      <c r="F1" s="2" t="s">
        <v>918</v>
      </c>
      <c r="G1" t="s">
        <v>919</v>
      </c>
      <c r="H1" s="1" t="s">
        <v>920</v>
      </c>
      <c r="I1" s="1" t="s">
        <v>921</v>
      </c>
      <c r="J1" s="1" t="s">
        <v>922</v>
      </c>
      <c r="K1" s="1" t="s">
        <v>923</v>
      </c>
      <c r="L1" s="1" t="s">
        <v>924</v>
      </c>
      <c r="M1" s="1" t="s">
        <v>925</v>
      </c>
      <c r="N1" s="1" t="s">
        <v>926</v>
      </c>
      <c r="O1" s="1" t="s">
        <v>927</v>
      </c>
      <c r="P1" s="1" t="s">
        <v>928</v>
      </c>
      <c r="Q1" s="1" t="s">
        <v>929</v>
      </c>
    </row>
    <row r="2" spans="1:17" x14ac:dyDescent="0.3">
      <c r="A2" t="s">
        <v>793</v>
      </c>
      <c r="B2" t="s">
        <v>794</v>
      </c>
      <c r="C2" t="s">
        <v>25</v>
      </c>
      <c r="D2" t="s">
        <v>30</v>
      </c>
      <c r="E2">
        <v>45</v>
      </c>
      <c r="F2" t="str">
        <f t="shared" ref="F2:F33" si="0">IF(E2&lt;18,"teen","adult")</f>
        <v>adult</v>
      </c>
      <c r="G2">
        <v>350</v>
      </c>
      <c r="H2">
        <v>8</v>
      </c>
      <c r="I2">
        <v>1</v>
      </c>
      <c r="J2">
        <v>1.58</v>
      </c>
      <c r="K2">
        <v>44874</v>
      </c>
      <c r="L2" t="s">
        <v>791</v>
      </c>
      <c r="M2">
        <v>57.2</v>
      </c>
      <c r="N2" t="s">
        <v>2</v>
      </c>
      <c r="O2">
        <v>458</v>
      </c>
      <c r="P2" t="s">
        <v>792</v>
      </c>
      <c r="Q2">
        <v>8618</v>
      </c>
    </row>
    <row r="3" spans="1:17" x14ac:dyDescent="0.3">
      <c r="A3" t="s">
        <v>324</v>
      </c>
      <c r="B3" t="s">
        <v>325</v>
      </c>
      <c r="C3" t="s">
        <v>321</v>
      </c>
      <c r="D3" t="s">
        <v>326</v>
      </c>
      <c r="E3">
        <v>30</v>
      </c>
      <c r="F3" t="str">
        <f t="shared" si="0"/>
        <v>adult</v>
      </c>
      <c r="G3">
        <v>26</v>
      </c>
      <c r="H3">
        <v>67</v>
      </c>
      <c r="I3">
        <v>1</v>
      </c>
      <c r="J3">
        <v>1.55</v>
      </c>
      <c r="K3">
        <v>44710</v>
      </c>
      <c r="L3" t="s">
        <v>322</v>
      </c>
      <c r="M3">
        <v>52.2</v>
      </c>
      <c r="N3" t="s">
        <v>53</v>
      </c>
      <c r="O3">
        <v>170</v>
      </c>
      <c r="P3" t="s">
        <v>323</v>
      </c>
      <c r="Q3">
        <v>1055578</v>
      </c>
    </row>
    <row r="4" spans="1:17" x14ac:dyDescent="0.3">
      <c r="A4" t="s">
        <v>546</v>
      </c>
      <c r="B4" t="s">
        <v>547</v>
      </c>
      <c r="C4" t="s">
        <v>543</v>
      </c>
      <c r="D4" t="s">
        <v>548</v>
      </c>
      <c r="E4">
        <v>32</v>
      </c>
      <c r="F4" t="str">
        <f t="shared" si="0"/>
        <v>adult</v>
      </c>
      <c r="G4">
        <v>-27</v>
      </c>
      <c r="H4" s="1">
        <v>102</v>
      </c>
      <c r="I4">
        <v>1</v>
      </c>
      <c r="J4">
        <v>1.55</v>
      </c>
      <c r="K4">
        <v>44660</v>
      </c>
      <c r="L4" t="s">
        <v>544</v>
      </c>
      <c r="M4">
        <v>53.1</v>
      </c>
      <c r="N4" t="s">
        <v>53</v>
      </c>
      <c r="O4">
        <v>211</v>
      </c>
      <c r="P4" t="s">
        <v>545</v>
      </c>
      <c r="Q4">
        <v>1203632</v>
      </c>
    </row>
    <row r="5" spans="1:17" x14ac:dyDescent="0.3">
      <c r="A5" t="s">
        <v>70</v>
      </c>
      <c r="B5" t="s">
        <v>71</v>
      </c>
      <c r="C5" t="s">
        <v>67</v>
      </c>
      <c r="D5" t="s">
        <v>72</v>
      </c>
      <c r="E5">
        <v>33</v>
      </c>
      <c r="F5" t="str">
        <f t="shared" si="0"/>
        <v>adult</v>
      </c>
      <c r="G5">
        <v>365</v>
      </c>
      <c r="H5">
        <v>14</v>
      </c>
      <c r="I5">
        <v>1</v>
      </c>
      <c r="J5">
        <v>1.71</v>
      </c>
      <c r="K5">
        <v>44640</v>
      </c>
      <c r="L5" t="s">
        <v>68</v>
      </c>
      <c r="M5">
        <v>70.3</v>
      </c>
      <c r="N5" t="s">
        <v>53</v>
      </c>
      <c r="O5">
        <v>130</v>
      </c>
      <c r="P5" t="s">
        <v>69</v>
      </c>
      <c r="Q5">
        <v>37537</v>
      </c>
    </row>
    <row r="6" spans="1:17" x14ac:dyDescent="0.3">
      <c r="A6" t="s">
        <v>166</v>
      </c>
      <c r="B6" t="s">
        <v>167</v>
      </c>
      <c r="C6" t="s">
        <v>164</v>
      </c>
      <c r="D6" t="s">
        <v>168</v>
      </c>
      <c r="E6">
        <v>25</v>
      </c>
      <c r="F6" t="str">
        <f t="shared" si="0"/>
        <v>adult</v>
      </c>
      <c r="G6">
        <v>152</v>
      </c>
      <c r="H6">
        <v>36</v>
      </c>
      <c r="I6">
        <v>1</v>
      </c>
      <c r="J6">
        <v>1.71</v>
      </c>
      <c r="K6" t="s">
        <v>930</v>
      </c>
      <c r="L6" t="s">
        <v>930</v>
      </c>
      <c r="M6">
        <v>66.2</v>
      </c>
      <c r="N6" t="s">
        <v>53</v>
      </c>
      <c r="O6">
        <v>144</v>
      </c>
      <c r="P6" t="s">
        <v>165</v>
      </c>
      <c r="Q6">
        <v>390443</v>
      </c>
    </row>
    <row r="7" spans="1:17" x14ac:dyDescent="0.3">
      <c r="A7" t="s">
        <v>707</v>
      </c>
      <c r="B7" t="s">
        <v>708</v>
      </c>
      <c r="C7" t="s">
        <v>13</v>
      </c>
      <c r="D7" t="s">
        <v>18</v>
      </c>
      <c r="E7">
        <v>35</v>
      </c>
      <c r="F7" t="str">
        <f t="shared" si="0"/>
        <v>adult</v>
      </c>
      <c r="G7">
        <v>530</v>
      </c>
      <c r="H7">
        <v>5</v>
      </c>
      <c r="I7">
        <v>1</v>
      </c>
      <c r="J7">
        <v>1.62</v>
      </c>
      <c r="K7">
        <v>44888</v>
      </c>
      <c r="L7" t="s">
        <v>705</v>
      </c>
      <c r="M7">
        <v>59</v>
      </c>
      <c r="N7" t="s">
        <v>2</v>
      </c>
      <c r="O7">
        <v>352</v>
      </c>
      <c r="P7" t="s">
        <v>706</v>
      </c>
      <c r="Q7">
        <v>235218</v>
      </c>
    </row>
    <row r="8" spans="1:17" x14ac:dyDescent="0.3">
      <c r="A8" t="s">
        <v>831</v>
      </c>
      <c r="B8" t="s">
        <v>832</v>
      </c>
      <c r="C8" t="s">
        <v>25</v>
      </c>
      <c r="D8" t="s">
        <v>30</v>
      </c>
      <c r="E8">
        <v>52</v>
      </c>
      <c r="F8" t="str">
        <f>IF(E8&lt;18,"teen","adult")</f>
        <v>adult</v>
      </c>
      <c r="G8">
        <v>320</v>
      </c>
      <c r="H8">
        <v>8</v>
      </c>
      <c r="I8">
        <v>1</v>
      </c>
      <c r="J8">
        <v>1.74</v>
      </c>
      <c r="K8">
        <v>44932</v>
      </c>
      <c r="L8" t="s">
        <v>829</v>
      </c>
      <c r="M8">
        <v>63.5</v>
      </c>
      <c r="N8" t="s">
        <v>2</v>
      </c>
      <c r="O8">
        <v>508</v>
      </c>
      <c r="P8" t="s">
        <v>830</v>
      </c>
      <c r="Q8">
        <v>80344</v>
      </c>
    </row>
    <row r="9" spans="1:17" x14ac:dyDescent="0.3">
      <c r="A9" t="s">
        <v>746</v>
      </c>
      <c r="B9" t="s">
        <v>747</v>
      </c>
      <c r="C9" t="s">
        <v>87</v>
      </c>
      <c r="D9" t="s">
        <v>92</v>
      </c>
      <c r="E9">
        <v>40</v>
      </c>
      <c r="F9" t="str">
        <f t="shared" si="0"/>
        <v>adult</v>
      </c>
      <c r="G9">
        <v>500</v>
      </c>
      <c r="H9">
        <v>5</v>
      </c>
      <c r="I9">
        <v>1</v>
      </c>
      <c r="J9">
        <v>1.65</v>
      </c>
      <c r="K9">
        <v>44881</v>
      </c>
      <c r="L9" t="s">
        <v>744</v>
      </c>
      <c r="M9">
        <v>63</v>
      </c>
      <c r="N9" t="s">
        <v>2</v>
      </c>
      <c r="O9">
        <v>410</v>
      </c>
      <c r="P9" t="s">
        <v>745</v>
      </c>
      <c r="Q9">
        <v>434123</v>
      </c>
    </row>
    <row r="10" spans="1:17" x14ac:dyDescent="0.3">
      <c r="A10" t="s">
        <v>371</v>
      </c>
      <c r="B10" t="s">
        <v>372</v>
      </c>
      <c r="C10" t="s">
        <v>135</v>
      </c>
      <c r="D10" t="s">
        <v>139</v>
      </c>
      <c r="E10">
        <v>25</v>
      </c>
      <c r="F10" t="str">
        <f t="shared" si="0"/>
        <v>adult</v>
      </c>
      <c r="G10">
        <v>10</v>
      </c>
      <c r="H10">
        <v>75</v>
      </c>
      <c r="I10">
        <v>1</v>
      </c>
      <c r="J10">
        <v>1.8</v>
      </c>
      <c r="K10">
        <v>44960</v>
      </c>
      <c r="L10" t="s">
        <v>369</v>
      </c>
      <c r="M10">
        <v>68.900000000000006</v>
      </c>
      <c r="N10" t="s">
        <v>53</v>
      </c>
      <c r="O10">
        <v>313</v>
      </c>
      <c r="P10" t="s">
        <v>370</v>
      </c>
      <c r="Q10">
        <v>468509</v>
      </c>
    </row>
    <row r="11" spans="1:17" x14ac:dyDescent="0.3">
      <c r="A11" t="s">
        <v>620</v>
      </c>
      <c r="B11" t="s">
        <v>621</v>
      </c>
      <c r="C11" t="s">
        <v>617</v>
      </c>
      <c r="D11" t="s">
        <v>622</v>
      </c>
      <c r="E11">
        <v>34</v>
      </c>
      <c r="F11" t="str">
        <f t="shared" si="0"/>
        <v>adult</v>
      </c>
      <c r="G11">
        <v>-42</v>
      </c>
      <c r="H11" s="1">
        <v>117</v>
      </c>
      <c r="I11">
        <v>1</v>
      </c>
      <c r="J11">
        <v>1.68</v>
      </c>
      <c r="K11">
        <v>44682</v>
      </c>
      <c r="L11" t="s">
        <v>618</v>
      </c>
      <c r="M11">
        <v>69.900000000000006</v>
      </c>
      <c r="N11" t="s">
        <v>53</v>
      </c>
      <c r="O11">
        <v>202</v>
      </c>
      <c r="P11" t="s">
        <v>619</v>
      </c>
      <c r="Q11">
        <v>768482</v>
      </c>
    </row>
    <row r="12" spans="1:17" x14ac:dyDescent="0.3">
      <c r="A12" t="s">
        <v>36</v>
      </c>
      <c r="B12" t="s">
        <v>37</v>
      </c>
      <c r="C12" t="s">
        <v>25</v>
      </c>
      <c r="D12" t="s">
        <v>30</v>
      </c>
      <c r="E12">
        <v>27</v>
      </c>
      <c r="F12" t="str">
        <f t="shared" si="0"/>
        <v>adult</v>
      </c>
      <c r="G12">
        <v>706</v>
      </c>
      <c r="H12">
        <v>7</v>
      </c>
      <c r="I12">
        <v>1</v>
      </c>
      <c r="J12">
        <v>1.74</v>
      </c>
      <c r="K12">
        <v>44601</v>
      </c>
      <c r="L12" t="s">
        <v>34</v>
      </c>
      <c r="M12">
        <v>70.3</v>
      </c>
      <c r="N12" t="s">
        <v>2</v>
      </c>
      <c r="O12">
        <v>104</v>
      </c>
      <c r="P12" t="s">
        <v>35</v>
      </c>
      <c r="Q12">
        <v>174547</v>
      </c>
    </row>
    <row r="13" spans="1:17" x14ac:dyDescent="0.3">
      <c r="A13" t="s">
        <v>473</v>
      </c>
      <c r="B13" t="s">
        <v>474</v>
      </c>
      <c r="C13" t="s">
        <v>471</v>
      </c>
      <c r="D13" t="s">
        <v>475</v>
      </c>
      <c r="E13">
        <v>28</v>
      </c>
      <c r="F13" t="str">
        <f t="shared" si="0"/>
        <v>adult</v>
      </c>
      <c r="G13">
        <v>-17</v>
      </c>
      <c r="H13">
        <v>92</v>
      </c>
      <c r="I13">
        <v>1</v>
      </c>
      <c r="J13">
        <v>1.55</v>
      </c>
      <c r="K13" t="s">
        <v>930</v>
      </c>
      <c r="L13" t="s">
        <v>930</v>
      </c>
      <c r="M13">
        <v>54</v>
      </c>
      <c r="N13" t="s">
        <v>53</v>
      </c>
      <c r="O13">
        <v>199</v>
      </c>
      <c r="P13" t="s">
        <v>472</v>
      </c>
      <c r="Q13">
        <v>451905</v>
      </c>
    </row>
    <row r="14" spans="1:17" x14ac:dyDescent="0.3">
      <c r="A14" t="s">
        <v>250</v>
      </c>
      <c r="B14" t="s">
        <v>251</v>
      </c>
      <c r="C14" t="s">
        <v>247</v>
      </c>
      <c r="D14" t="s">
        <v>252</v>
      </c>
      <c r="E14">
        <v>34</v>
      </c>
      <c r="F14" t="str">
        <f t="shared" si="0"/>
        <v>adult</v>
      </c>
      <c r="G14">
        <v>46</v>
      </c>
      <c r="H14">
        <v>53</v>
      </c>
      <c r="I14">
        <v>1</v>
      </c>
      <c r="J14">
        <v>1.74</v>
      </c>
      <c r="K14">
        <v>44670</v>
      </c>
      <c r="L14" t="s">
        <v>248</v>
      </c>
      <c r="M14">
        <v>68.900000000000006</v>
      </c>
      <c r="N14" t="s">
        <v>53</v>
      </c>
      <c r="O14">
        <v>142</v>
      </c>
      <c r="P14" t="s">
        <v>249</v>
      </c>
      <c r="Q14">
        <v>238026</v>
      </c>
    </row>
    <row r="15" spans="1:17" x14ac:dyDescent="0.3">
      <c r="A15" t="s">
        <v>439</v>
      </c>
      <c r="B15" t="s">
        <v>440</v>
      </c>
      <c r="C15" t="s">
        <v>436</v>
      </c>
      <c r="D15" t="s">
        <v>441</v>
      </c>
      <c r="E15">
        <v>24</v>
      </c>
      <c r="F15" t="str">
        <f t="shared" si="0"/>
        <v>adult</v>
      </c>
      <c r="G15">
        <v>-12</v>
      </c>
      <c r="H15">
        <v>87</v>
      </c>
      <c r="I15">
        <v>1</v>
      </c>
      <c r="J15">
        <v>1.74</v>
      </c>
      <c r="K15">
        <v>44661</v>
      </c>
      <c r="L15" t="s">
        <v>437</v>
      </c>
      <c r="M15">
        <v>68.900000000000006</v>
      </c>
      <c r="N15" t="s">
        <v>53</v>
      </c>
      <c r="O15">
        <v>181</v>
      </c>
      <c r="P15" t="s">
        <v>438</v>
      </c>
      <c r="Q15">
        <v>1217058</v>
      </c>
    </row>
    <row r="16" spans="1:17" x14ac:dyDescent="0.3">
      <c r="A16" t="s">
        <v>502</v>
      </c>
      <c r="B16" t="s">
        <v>503</v>
      </c>
      <c r="C16" t="s">
        <v>499</v>
      </c>
      <c r="D16" t="s">
        <v>504</v>
      </c>
      <c r="E16">
        <v>33</v>
      </c>
      <c r="F16" t="str">
        <f t="shared" si="0"/>
        <v>adult</v>
      </c>
      <c r="G16">
        <v>-17</v>
      </c>
      <c r="H16" s="1">
        <v>92</v>
      </c>
      <c r="I16">
        <v>1</v>
      </c>
      <c r="J16">
        <v>1.68</v>
      </c>
      <c r="K16">
        <v>44629</v>
      </c>
      <c r="L16" t="s">
        <v>500</v>
      </c>
      <c r="M16">
        <v>74.8</v>
      </c>
      <c r="N16" t="s">
        <v>53</v>
      </c>
      <c r="O16">
        <v>171</v>
      </c>
      <c r="P16" t="s">
        <v>501</v>
      </c>
      <c r="Q16">
        <v>239210</v>
      </c>
    </row>
    <row r="17" spans="1:17" x14ac:dyDescent="0.3">
      <c r="A17" t="s">
        <v>45</v>
      </c>
      <c r="B17" t="s">
        <v>46</v>
      </c>
      <c r="C17" t="s">
        <v>42</v>
      </c>
      <c r="D17" t="s">
        <v>47</v>
      </c>
      <c r="E17">
        <v>29</v>
      </c>
      <c r="F17" t="str">
        <f t="shared" si="0"/>
        <v>adult</v>
      </c>
      <c r="G17">
        <v>640</v>
      </c>
      <c r="H17">
        <v>9</v>
      </c>
      <c r="I17">
        <v>1</v>
      </c>
      <c r="J17">
        <v>1.62</v>
      </c>
      <c r="K17">
        <v>44717</v>
      </c>
      <c r="L17" t="s">
        <v>43</v>
      </c>
      <c r="M17">
        <v>63</v>
      </c>
      <c r="N17" t="s">
        <v>2</v>
      </c>
      <c r="O17">
        <v>167</v>
      </c>
      <c r="P17" t="s">
        <v>44</v>
      </c>
      <c r="Q17">
        <v>252900</v>
      </c>
    </row>
    <row r="18" spans="1:17" x14ac:dyDescent="0.3">
      <c r="A18" t="s">
        <v>45</v>
      </c>
      <c r="B18" t="s">
        <v>692</v>
      </c>
      <c r="C18" t="s">
        <v>25</v>
      </c>
      <c r="D18" t="s">
        <v>30</v>
      </c>
      <c r="E18">
        <v>36</v>
      </c>
      <c r="F18" t="str">
        <f t="shared" si="0"/>
        <v>adult</v>
      </c>
      <c r="G18">
        <v>690</v>
      </c>
      <c r="H18">
        <v>1</v>
      </c>
      <c r="I18">
        <v>1</v>
      </c>
      <c r="J18">
        <v>1.71</v>
      </c>
      <c r="K18">
        <v>44912</v>
      </c>
      <c r="L18" t="s">
        <v>690</v>
      </c>
      <c r="M18">
        <v>64.900000000000006</v>
      </c>
      <c r="N18" t="s">
        <v>2</v>
      </c>
      <c r="O18">
        <v>356</v>
      </c>
      <c r="P18" t="s">
        <v>691</v>
      </c>
      <c r="Q18">
        <v>9440</v>
      </c>
    </row>
    <row r="19" spans="1:17" x14ac:dyDescent="0.3">
      <c r="A19" t="s">
        <v>59</v>
      </c>
      <c r="B19" t="s">
        <v>60</v>
      </c>
      <c r="C19" t="s">
        <v>19</v>
      </c>
      <c r="D19" t="s">
        <v>24</v>
      </c>
      <c r="E19">
        <v>29</v>
      </c>
      <c r="F19" t="str">
        <f t="shared" si="0"/>
        <v>adult</v>
      </c>
      <c r="G19">
        <v>370</v>
      </c>
      <c r="H19">
        <v>12</v>
      </c>
      <c r="I19">
        <v>1</v>
      </c>
      <c r="J19">
        <v>1.74</v>
      </c>
      <c r="K19">
        <v>44767</v>
      </c>
      <c r="L19" t="s">
        <v>57</v>
      </c>
      <c r="M19">
        <v>68.900000000000006</v>
      </c>
      <c r="N19" t="s">
        <v>53</v>
      </c>
      <c r="O19">
        <v>11</v>
      </c>
      <c r="P19" t="s">
        <v>58</v>
      </c>
      <c r="Q19">
        <v>18588</v>
      </c>
    </row>
    <row r="20" spans="1:17" x14ac:dyDescent="0.3">
      <c r="A20" t="s">
        <v>858</v>
      </c>
      <c r="B20" t="s">
        <v>859</v>
      </c>
      <c r="C20" t="s">
        <v>25</v>
      </c>
      <c r="D20" t="s">
        <v>30</v>
      </c>
      <c r="E20">
        <v>55</v>
      </c>
      <c r="F20" t="str">
        <f t="shared" si="0"/>
        <v>adult</v>
      </c>
      <c r="G20">
        <v>390</v>
      </c>
      <c r="H20">
        <v>5</v>
      </c>
      <c r="I20">
        <v>1</v>
      </c>
      <c r="J20">
        <v>1.62</v>
      </c>
      <c r="K20">
        <v>44844</v>
      </c>
      <c r="L20" t="s">
        <v>856</v>
      </c>
      <c r="M20">
        <v>59.9</v>
      </c>
      <c r="N20" t="s">
        <v>2</v>
      </c>
      <c r="O20">
        <v>556</v>
      </c>
      <c r="P20" t="s">
        <v>857</v>
      </c>
      <c r="Q20">
        <v>215328</v>
      </c>
    </row>
    <row r="21" spans="1:17" x14ac:dyDescent="0.3">
      <c r="A21" t="s">
        <v>516</v>
      </c>
      <c r="B21" t="s">
        <v>517</v>
      </c>
      <c r="C21" t="s">
        <v>513</v>
      </c>
      <c r="D21" t="s">
        <v>518</v>
      </c>
      <c r="E21">
        <v>17</v>
      </c>
      <c r="F21" t="str">
        <f t="shared" si="0"/>
        <v>teen</v>
      </c>
      <c r="G21">
        <v>-17</v>
      </c>
      <c r="H21">
        <v>92</v>
      </c>
      <c r="I21">
        <v>1</v>
      </c>
      <c r="J21">
        <v>1.71</v>
      </c>
      <c r="K21">
        <v>44763</v>
      </c>
      <c r="L21" t="s">
        <v>514</v>
      </c>
      <c r="M21">
        <v>62.1</v>
      </c>
      <c r="N21" t="s">
        <v>53</v>
      </c>
      <c r="O21">
        <v>210</v>
      </c>
      <c r="P21" t="s">
        <v>515</v>
      </c>
      <c r="Q21">
        <v>1280595</v>
      </c>
    </row>
    <row r="22" spans="1:17" x14ac:dyDescent="0.3">
      <c r="A22" t="s">
        <v>534</v>
      </c>
      <c r="B22" t="s">
        <v>535</v>
      </c>
      <c r="C22" t="s">
        <v>531</v>
      </c>
      <c r="D22" t="s">
        <v>536</v>
      </c>
      <c r="E22">
        <v>25</v>
      </c>
      <c r="F22" t="str">
        <f t="shared" si="0"/>
        <v>adult</v>
      </c>
      <c r="G22">
        <v>-27</v>
      </c>
      <c r="H22">
        <v>102</v>
      </c>
      <c r="I22">
        <v>1</v>
      </c>
      <c r="J22">
        <v>1.55</v>
      </c>
      <c r="K22">
        <v>44703</v>
      </c>
      <c r="L22" t="s">
        <v>532</v>
      </c>
      <c r="M22">
        <v>59.9</v>
      </c>
      <c r="N22" t="s">
        <v>53</v>
      </c>
      <c r="O22">
        <v>163</v>
      </c>
      <c r="P22" t="s">
        <v>533</v>
      </c>
      <c r="Q22">
        <v>1192351</v>
      </c>
    </row>
    <row r="23" spans="1:17" x14ac:dyDescent="0.3">
      <c r="A23" t="s">
        <v>823</v>
      </c>
      <c r="B23" t="s">
        <v>824</v>
      </c>
      <c r="C23" t="s">
        <v>0</v>
      </c>
      <c r="D23" t="s">
        <v>6</v>
      </c>
      <c r="E23">
        <v>50</v>
      </c>
      <c r="F23" t="str">
        <f t="shared" si="0"/>
        <v>adult</v>
      </c>
      <c r="G23">
        <v>480</v>
      </c>
      <c r="H23">
        <v>6</v>
      </c>
      <c r="I23">
        <v>1</v>
      </c>
      <c r="J23">
        <v>1.58</v>
      </c>
      <c r="K23">
        <v>44888</v>
      </c>
      <c r="L23" t="s">
        <v>705</v>
      </c>
      <c r="M23">
        <v>59.4</v>
      </c>
      <c r="N23" t="s">
        <v>2</v>
      </c>
      <c r="O23">
        <v>501</v>
      </c>
      <c r="P23" t="s">
        <v>822</v>
      </c>
      <c r="Q23">
        <v>321495</v>
      </c>
    </row>
    <row r="24" spans="1:17" x14ac:dyDescent="0.3">
      <c r="A24" t="s">
        <v>40</v>
      </c>
      <c r="B24" t="s">
        <v>41</v>
      </c>
      <c r="C24" t="s">
        <v>25</v>
      </c>
      <c r="D24" t="s">
        <v>30</v>
      </c>
      <c r="E24">
        <v>25</v>
      </c>
      <c r="F24" t="str">
        <f t="shared" si="0"/>
        <v>adult</v>
      </c>
      <c r="G24">
        <v>659</v>
      </c>
      <c r="H24">
        <v>8</v>
      </c>
      <c r="I24">
        <v>1</v>
      </c>
      <c r="J24">
        <v>1.65</v>
      </c>
      <c r="K24">
        <v>44951</v>
      </c>
      <c r="L24" t="s">
        <v>38</v>
      </c>
      <c r="M24">
        <v>65.8</v>
      </c>
      <c r="N24" t="s">
        <v>2</v>
      </c>
      <c r="O24">
        <v>301</v>
      </c>
      <c r="P24" t="s">
        <v>39</v>
      </c>
      <c r="Q24">
        <v>592472</v>
      </c>
    </row>
    <row r="25" spans="1:17" x14ac:dyDescent="0.3">
      <c r="A25" t="s">
        <v>265</v>
      </c>
      <c r="B25" t="s">
        <v>266</v>
      </c>
      <c r="C25" t="s">
        <v>262</v>
      </c>
      <c r="D25" t="s">
        <v>267</v>
      </c>
      <c r="E25">
        <v>30</v>
      </c>
      <c r="F25" t="str">
        <f t="shared" si="0"/>
        <v>adult</v>
      </c>
      <c r="G25">
        <v>43</v>
      </c>
      <c r="H25">
        <v>56</v>
      </c>
      <c r="I25">
        <v>1</v>
      </c>
      <c r="J25">
        <v>1.65</v>
      </c>
      <c r="K25">
        <v>44639</v>
      </c>
      <c r="L25" t="s">
        <v>263</v>
      </c>
      <c r="M25">
        <v>62.6</v>
      </c>
      <c r="N25" t="s">
        <v>53</v>
      </c>
      <c r="O25">
        <v>148</v>
      </c>
      <c r="P25" t="s">
        <v>264</v>
      </c>
      <c r="Q25">
        <v>242149</v>
      </c>
    </row>
    <row r="26" spans="1:17" x14ac:dyDescent="0.3">
      <c r="A26" t="s">
        <v>81</v>
      </c>
      <c r="B26" t="s">
        <v>82</v>
      </c>
      <c r="C26" t="s">
        <v>25</v>
      </c>
      <c r="D26" t="s">
        <v>30</v>
      </c>
      <c r="E26">
        <v>24</v>
      </c>
      <c r="F26" t="str">
        <f t="shared" si="0"/>
        <v>adult</v>
      </c>
      <c r="G26">
        <v>351</v>
      </c>
      <c r="H26">
        <v>16</v>
      </c>
      <c r="I26">
        <v>1</v>
      </c>
      <c r="J26">
        <v>1.71</v>
      </c>
      <c r="K26">
        <v>44603</v>
      </c>
      <c r="L26" t="s">
        <v>79</v>
      </c>
      <c r="M26">
        <v>68</v>
      </c>
      <c r="N26" t="s">
        <v>53</v>
      </c>
      <c r="O26">
        <v>102</v>
      </c>
      <c r="P26" t="s">
        <v>80</v>
      </c>
      <c r="Q26">
        <v>168305</v>
      </c>
    </row>
    <row r="27" spans="1:17" x14ac:dyDescent="0.3">
      <c r="A27" t="s">
        <v>81</v>
      </c>
      <c r="B27" t="s">
        <v>261</v>
      </c>
      <c r="C27" t="s">
        <v>25</v>
      </c>
      <c r="D27" t="s">
        <v>30</v>
      </c>
      <c r="E27">
        <v>30</v>
      </c>
      <c r="F27" t="str">
        <f t="shared" si="0"/>
        <v>adult</v>
      </c>
      <c r="G27">
        <v>44</v>
      </c>
      <c r="H27">
        <v>55</v>
      </c>
      <c r="I27">
        <v>1</v>
      </c>
      <c r="J27">
        <v>1.62</v>
      </c>
      <c r="K27">
        <v>44594</v>
      </c>
      <c r="L27" t="s">
        <v>259</v>
      </c>
      <c r="M27">
        <v>68.900000000000006</v>
      </c>
      <c r="N27" t="s">
        <v>53</v>
      </c>
      <c r="O27">
        <v>110</v>
      </c>
      <c r="P27" t="s">
        <v>260</v>
      </c>
      <c r="Q27">
        <v>115239</v>
      </c>
    </row>
    <row r="28" spans="1:17" x14ac:dyDescent="0.3">
      <c r="A28" t="s">
        <v>137</v>
      </c>
      <c r="B28" t="s">
        <v>138</v>
      </c>
      <c r="C28" t="s">
        <v>135</v>
      </c>
      <c r="D28" t="s">
        <v>139</v>
      </c>
      <c r="E28">
        <v>28</v>
      </c>
      <c r="F28" t="str">
        <f t="shared" si="0"/>
        <v>adult</v>
      </c>
      <c r="G28">
        <v>208</v>
      </c>
      <c r="H28">
        <v>29</v>
      </c>
      <c r="I28">
        <v>1</v>
      </c>
      <c r="J28">
        <v>1.68</v>
      </c>
      <c r="K28" t="s">
        <v>930</v>
      </c>
      <c r="L28" t="s">
        <v>930</v>
      </c>
      <c r="M28">
        <v>67.599999999999994</v>
      </c>
      <c r="N28" t="s">
        <v>53</v>
      </c>
      <c r="O28">
        <v>131</v>
      </c>
      <c r="P28" t="s">
        <v>136</v>
      </c>
      <c r="Q28">
        <v>2088</v>
      </c>
    </row>
    <row r="29" spans="1:17" x14ac:dyDescent="0.3">
      <c r="A29" t="s">
        <v>695</v>
      </c>
      <c r="B29" t="s">
        <v>696</v>
      </c>
      <c r="C29" t="s">
        <v>25</v>
      </c>
      <c r="D29" t="s">
        <v>30</v>
      </c>
      <c r="E29">
        <v>35</v>
      </c>
      <c r="F29" t="str">
        <f t="shared" si="0"/>
        <v>adult</v>
      </c>
      <c r="G29">
        <v>600</v>
      </c>
      <c r="H29">
        <v>2</v>
      </c>
      <c r="I29">
        <v>1</v>
      </c>
      <c r="J29">
        <v>1.58</v>
      </c>
      <c r="K29">
        <v>44928</v>
      </c>
      <c r="L29" t="s">
        <v>693</v>
      </c>
      <c r="M29">
        <v>62.1</v>
      </c>
      <c r="N29" t="s">
        <v>2</v>
      </c>
      <c r="O29">
        <v>357</v>
      </c>
      <c r="P29" t="s">
        <v>694</v>
      </c>
      <c r="Q29">
        <v>16973</v>
      </c>
    </row>
    <row r="30" spans="1:17" x14ac:dyDescent="0.3">
      <c r="A30" t="s">
        <v>214</v>
      </c>
      <c r="B30" t="s">
        <v>215</v>
      </c>
      <c r="C30" t="s">
        <v>211</v>
      </c>
      <c r="D30" t="s">
        <v>216</v>
      </c>
      <c r="E30">
        <v>30</v>
      </c>
      <c r="F30" t="str">
        <f t="shared" si="0"/>
        <v>adult</v>
      </c>
      <c r="G30">
        <v>80</v>
      </c>
      <c r="H30">
        <v>46</v>
      </c>
      <c r="I30">
        <v>1</v>
      </c>
      <c r="J30">
        <v>1.71</v>
      </c>
      <c r="K30">
        <v>44652</v>
      </c>
      <c r="L30" t="s">
        <v>212</v>
      </c>
      <c r="M30">
        <v>69.900000000000006</v>
      </c>
      <c r="N30" t="s">
        <v>53</v>
      </c>
      <c r="O30">
        <v>137</v>
      </c>
      <c r="P30" t="s">
        <v>213</v>
      </c>
      <c r="Q30">
        <v>103617</v>
      </c>
    </row>
    <row r="31" spans="1:17" x14ac:dyDescent="0.3">
      <c r="A31" t="s">
        <v>230</v>
      </c>
      <c r="B31" t="s">
        <v>231</v>
      </c>
      <c r="C31" t="s">
        <v>227</v>
      </c>
      <c r="D31" t="s">
        <v>232</v>
      </c>
      <c r="E31">
        <v>26</v>
      </c>
      <c r="F31" t="str">
        <f t="shared" si="0"/>
        <v>adult</v>
      </c>
      <c r="G31">
        <v>71</v>
      </c>
      <c r="H31">
        <v>49</v>
      </c>
      <c r="I31">
        <v>1</v>
      </c>
      <c r="J31">
        <v>1.58</v>
      </c>
      <c r="K31">
        <v>44630</v>
      </c>
      <c r="L31" t="s">
        <v>228</v>
      </c>
      <c r="M31">
        <v>55.8</v>
      </c>
      <c r="N31" t="s">
        <v>53</v>
      </c>
      <c r="O31">
        <v>164</v>
      </c>
      <c r="P31" t="s">
        <v>229</v>
      </c>
      <c r="Q31">
        <v>452187</v>
      </c>
    </row>
    <row r="32" spans="1:17" x14ac:dyDescent="0.3">
      <c r="A32" t="s">
        <v>899</v>
      </c>
      <c r="B32" t="s">
        <v>900</v>
      </c>
      <c r="C32" t="s">
        <v>25</v>
      </c>
      <c r="D32" t="s">
        <v>30</v>
      </c>
      <c r="E32">
        <v>62</v>
      </c>
      <c r="F32" t="str">
        <f t="shared" si="0"/>
        <v>adult</v>
      </c>
      <c r="G32">
        <v>310</v>
      </c>
      <c r="H32">
        <v>7</v>
      </c>
      <c r="I32">
        <v>1</v>
      </c>
      <c r="J32">
        <v>1.62</v>
      </c>
      <c r="K32">
        <v>44856</v>
      </c>
      <c r="L32" t="s">
        <v>897</v>
      </c>
      <c r="M32">
        <v>53.1</v>
      </c>
      <c r="N32" t="s">
        <v>2</v>
      </c>
      <c r="O32">
        <v>605</v>
      </c>
      <c r="P32" t="s">
        <v>898</v>
      </c>
      <c r="Q32">
        <v>312883</v>
      </c>
    </row>
    <row r="33" spans="1:17" x14ac:dyDescent="0.3">
      <c r="A33" t="s">
        <v>85</v>
      </c>
      <c r="B33" t="s">
        <v>86</v>
      </c>
      <c r="C33" t="s">
        <v>61</v>
      </c>
      <c r="D33" t="s">
        <v>66</v>
      </c>
      <c r="E33">
        <v>31</v>
      </c>
      <c r="F33" t="str">
        <f t="shared" si="0"/>
        <v>adult</v>
      </c>
      <c r="G33">
        <v>328</v>
      </c>
      <c r="H33">
        <v>17</v>
      </c>
      <c r="I33">
        <v>1</v>
      </c>
      <c r="J33">
        <v>1.68</v>
      </c>
      <c r="K33">
        <v>44615</v>
      </c>
      <c r="L33" t="s">
        <v>83</v>
      </c>
      <c r="M33">
        <v>65.8</v>
      </c>
      <c r="N33" t="s">
        <v>53</v>
      </c>
      <c r="O33">
        <v>126</v>
      </c>
      <c r="P33" t="s">
        <v>84</v>
      </c>
      <c r="Q33">
        <v>103389</v>
      </c>
    </row>
    <row r="34" spans="1:17" x14ac:dyDescent="0.3">
      <c r="A34" t="s">
        <v>157</v>
      </c>
      <c r="B34" t="s">
        <v>158</v>
      </c>
      <c r="C34" t="s">
        <v>154</v>
      </c>
      <c r="D34" t="s">
        <v>159</v>
      </c>
      <c r="E34">
        <v>30</v>
      </c>
      <c r="F34" t="str">
        <f t="shared" ref="F34:F65" si="1">IF(E34&lt;18,"teen","adult")</f>
        <v>adult</v>
      </c>
      <c r="G34">
        <v>156</v>
      </c>
      <c r="H34">
        <v>34</v>
      </c>
      <c r="I34">
        <v>1</v>
      </c>
      <c r="J34">
        <v>1.74</v>
      </c>
      <c r="K34">
        <v>44611</v>
      </c>
      <c r="L34" t="s">
        <v>155</v>
      </c>
      <c r="M34">
        <v>68.900000000000006</v>
      </c>
      <c r="N34" t="s">
        <v>53</v>
      </c>
      <c r="O34">
        <v>138</v>
      </c>
      <c r="P34" t="s">
        <v>156</v>
      </c>
      <c r="Q34">
        <v>330326</v>
      </c>
    </row>
    <row r="35" spans="1:17" x14ac:dyDescent="0.3">
      <c r="A35" t="s">
        <v>64</v>
      </c>
      <c r="B35" t="s">
        <v>65</v>
      </c>
      <c r="C35" t="s">
        <v>61</v>
      </c>
      <c r="D35" t="s">
        <v>66</v>
      </c>
      <c r="E35">
        <v>29</v>
      </c>
      <c r="F35" t="str">
        <f t="shared" si="1"/>
        <v>adult</v>
      </c>
      <c r="G35">
        <v>365</v>
      </c>
      <c r="H35">
        <v>13</v>
      </c>
      <c r="I35">
        <v>1</v>
      </c>
      <c r="J35">
        <v>1.62</v>
      </c>
      <c r="K35">
        <v>44598</v>
      </c>
      <c r="L35" t="s">
        <v>62</v>
      </c>
      <c r="M35">
        <v>65.3</v>
      </c>
      <c r="N35" t="s">
        <v>53</v>
      </c>
      <c r="O35">
        <v>107</v>
      </c>
      <c r="P35" t="s">
        <v>63</v>
      </c>
      <c r="Q35">
        <v>239148</v>
      </c>
    </row>
    <row r="36" spans="1:17" x14ac:dyDescent="0.3">
      <c r="A36" t="s">
        <v>152</v>
      </c>
      <c r="B36" t="s">
        <v>153</v>
      </c>
      <c r="C36" t="s">
        <v>25</v>
      </c>
      <c r="D36" t="s">
        <v>30</v>
      </c>
      <c r="E36">
        <v>27</v>
      </c>
      <c r="F36" t="str">
        <f t="shared" si="1"/>
        <v>adult</v>
      </c>
      <c r="G36">
        <v>167</v>
      </c>
      <c r="H36">
        <v>33</v>
      </c>
      <c r="I36">
        <v>1</v>
      </c>
      <c r="J36">
        <v>1.62</v>
      </c>
      <c r="K36">
        <v>44653</v>
      </c>
      <c r="L36" t="s">
        <v>150</v>
      </c>
      <c r="M36">
        <v>61.2</v>
      </c>
      <c r="N36" t="s">
        <v>53</v>
      </c>
      <c r="O36">
        <v>114</v>
      </c>
      <c r="P36" t="s">
        <v>151</v>
      </c>
      <c r="Q36">
        <v>106129</v>
      </c>
    </row>
    <row r="37" spans="1:17" x14ac:dyDescent="0.3">
      <c r="A37" t="s">
        <v>648</v>
      </c>
      <c r="B37" t="s">
        <v>649</v>
      </c>
      <c r="C37" t="s">
        <v>645</v>
      </c>
      <c r="D37" t="s">
        <v>650</v>
      </c>
      <c r="E37">
        <v>41</v>
      </c>
      <c r="F37" t="str">
        <f t="shared" si="1"/>
        <v>adult</v>
      </c>
      <c r="G37">
        <v>-42</v>
      </c>
      <c r="H37">
        <v>117</v>
      </c>
      <c r="I37">
        <v>1</v>
      </c>
      <c r="J37">
        <v>1.65</v>
      </c>
      <c r="K37">
        <v>44714</v>
      </c>
      <c r="L37" t="s">
        <v>646</v>
      </c>
      <c r="M37">
        <v>73.5</v>
      </c>
      <c r="N37" t="s">
        <v>53</v>
      </c>
      <c r="O37">
        <v>219</v>
      </c>
      <c r="P37" t="s">
        <v>647</v>
      </c>
      <c r="Q37">
        <v>280553</v>
      </c>
    </row>
    <row r="38" spans="1:17" x14ac:dyDescent="0.3">
      <c r="A38" t="s">
        <v>185</v>
      </c>
      <c r="B38" t="s">
        <v>186</v>
      </c>
      <c r="C38" t="s">
        <v>25</v>
      </c>
      <c r="D38" t="s">
        <v>30</v>
      </c>
      <c r="E38">
        <v>34</v>
      </c>
      <c r="F38" t="str">
        <f t="shared" si="1"/>
        <v>adult</v>
      </c>
      <c r="G38">
        <v>122</v>
      </c>
      <c r="H38">
        <v>40</v>
      </c>
      <c r="I38">
        <v>1</v>
      </c>
      <c r="J38">
        <v>1.65</v>
      </c>
      <c r="K38">
        <v>44955</v>
      </c>
      <c r="L38" t="s">
        <v>183</v>
      </c>
      <c r="M38">
        <v>56.7</v>
      </c>
      <c r="N38" t="s">
        <v>53</v>
      </c>
      <c r="O38">
        <v>120</v>
      </c>
      <c r="P38" t="s">
        <v>184</v>
      </c>
      <c r="Q38">
        <v>9759</v>
      </c>
    </row>
    <row r="39" spans="1:17" x14ac:dyDescent="0.3">
      <c r="A39" t="s">
        <v>185</v>
      </c>
      <c r="B39" t="s">
        <v>790</v>
      </c>
      <c r="C39" t="s">
        <v>25</v>
      </c>
      <c r="D39" t="s">
        <v>30</v>
      </c>
      <c r="E39">
        <v>48</v>
      </c>
      <c r="F39" t="str">
        <f t="shared" si="1"/>
        <v>adult</v>
      </c>
      <c r="G39">
        <v>390</v>
      </c>
      <c r="H39">
        <v>7</v>
      </c>
      <c r="I39">
        <v>1</v>
      </c>
      <c r="J39">
        <v>1.58</v>
      </c>
      <c r="K39">
        <v>44869</v>
      </c>
      <c r="L39" t="s">
        <v>788</v>
      </c>
      <c r="M39">
        <v>60.3</v>
      </c>
      <c r="N39" t="s">
        <v>2</v>
      </c>
      <c r="O39">
        <v>455</v>
      </c>
      <c r="P39" t="s">
        <v>789</v>
      </c>
      <c r="Q39">
        <v>8770</v>
      </c>
    </row>
    <row r="40" spans="1:17" x14ac:dyDescent="0.3">
      <c r="A40" t="s">
        <v>808</v>
      </c>
      <c r="B40" t="s">
        <v>809</v>
      </c>
      <c r="C40" t="s">
        <v>25</v>
      </c>
      <c r="D40" t="s">
        <v>30</v>
      </c>
      <c r="E40">
        <v>50</v>
      </c>
      <c r="F40" t="str">
        <f t="shared" si="1"/>
        <v>adult</v>
      </c>
      <c r="G40">
        <v>630</v>
      </c>
      <c r="H40">
        <v>2</v>
      </c>
      <c r="I40">
        <v>1</v>
      </c>
      <c r="J40">
        <v>1.65</v>
      </c>
      <c r="K40">
        <v>44916</v>
      </c>
      <c r="L40" t="s">
        <v>806</v>
      </c>
      <c r="M40">
        <v>59</v>
      </c>
      <c r="N40" t="s">
        <v>2</v>
      </c>
      <c r="O40">
        <v>502</v>
      </c>
      <c r="P40" t="s">
        <v>807</v>
      </c>
      <c r="Q40">
        <v>42565</v>
      </c>
    </row>
    <row r="41" spans="1:17" x14ac:dyDescent="0.3">
      <c r="A41" t="s">
        <v>907</v>
      </c>
      <c r="B41" t="s">
        <v>908</v>
      </c>
      <c r="C41" t="s">
        <v>61</v>
      </c>
      <c r="D41" t="s">
        <v>66</v>
      </c>
      <c r="E41">
        <v>60</v>
      </c>
      <c r="F41" t="str">
        <f t="shared" si="1"/>
        <v>adult</v>
      </c>
      <c r="G41">
        <v>250</v>
      </c>
      <c r="H41">
        <v>9</v>
      </c>
      <c r="I41">
        <v>1</v>
      </c>
      <c r="J41">
        <v>1.68</v>
      </c>
      <c r="K41">
        <v>44821</v>
      </c>
      <c r="L41" t="s">
        <v>905</v>
      </c>
      <c r="M41">
        <v>57.2</v>
      </c>
      <c r="N41" t="s">
        <v>2</v>
      </c>
      <c r="O41">
        <v>606</v>
      </c>
      <c r="P41" t="s">
        <v>906</v>
      </c>
      <c r="Q41">
        <v>702085</v>
      </c>
    </row>
    <row r="42" spans="1:17" x14ac:dyDescent="0.3">
      <c r="A42" t="s">
        <v>666</v>
      </c>
      <c r="B42" t="s">
        <v>667</v>
      </c>
      <c r="C42" t="s">
        <v>663</v>
      </c>
      <c r="D42" t="s">
        <v>668</v>
      </c>
      <c r="E42">
        <v>35</v>
      </c>
      <c r="F42" t="str">
        <f t="shared" si="1"/>
        <v>adult</v>
      </c>
      <c r="G42">
        <v>-42</v>
      </c>
      <c r="H42">
        <v>117</v>
      </c>
      <c r="I42">
        <v>1</v>
      </c>
      <c r="J42">
        <v>1.62</v>
      </c>
      <c r="K42">
        <v>44749</v>
      </c>
      <c r="L42" t="s">
        <v>664</v>
      </c>
      <c r="M42">
        <v>63</v>
      </c>
      <c r="N42" t="s">
        <v>53</v>
      </c>
      <c r="O42">
        <v>215</v>
      </c>
      <c r="P42" t="s">
        <v>665</v>
      </c>
      <c r="Q42">
        <v>1218177</v>
      </c>
    </row>
    <row r="43" spans="1:17" x14ac:dyDescent="0.3">
      <c r="A43" t="s">
        <v>445</v>
      </c>
      <c r="B43" t="s">
        <v>446</v>
      </c>
      <c r="C43" t="s">
        <v>442</v>
      </c>
      <c r="D43" t="s">
        <v>447</v>
      </c>
      <c r="E43">
        <v>36</v>
      </c>
      <c r="F43" t="str">
        <f t="shared" si="1"/>
        <v>adult</v>
      </c>
      <c r="G43">
        <v>-13</v>
      </c>
      <c r="H43">
        <v>88</v>
      </c>
      <c r="I43">
        <v>1</v>
      </c>
      <c r="J43">
        <v>1.58</v>
      </c>
      <c r="K43">
        <v>44716</v>
      </c>
      <c r="L43" t="s">
        <v>443</v>
      </c>
      <c r="M43">
        <v>58.1</v>
      </c>
      <c r="N43" t="s">
        <v>53</v>
      </c>
      <c r="O43">
        <v>191</v>
      </c>
      <c r="P43" t="s">
        <v>444</v>
      </c>
      <c r="Q43">
        <v>899345</v>
      </c>
    </row>
    <row r="44" spans="1:17" x14ac:dyDescent="0.3">
      <c r="A44" t="s">
        <v>133</v>
      </c>
      <c r="B44" t="s">
        <v>134</v>
      </c>
      <c r="C44" t="s">
        <v>25</v>
      </c>
      <c r="D44" t="s">
        <v>30</v>
      </c>
      <c r="E44">
        <v>29</v>
      </c>
      <c r="F44" t="str">
        <f t="shared" si="1"/>
        <v>adult</v>
      </c>
      <c r="G44">
        <v>222</v>
      </c>
      <c r="H44">
        <v>28</v>
      </c>
      <c r="I44">
        <v>1</v>
      </c>
      <c r="J44">
        <v>1.77</v>
      </c>
      <c r="K44" t="s">
        <v>930</v>
      </c>
      <c r="L44" t="s">
        <v>930</v>
      </c>
      <c r="M44">
        <v>75.7</v>
      </c>
      <c r="N44" t="s">
        <v>53</v>
      </c>
      <c r="O44">
        <v>117</v>
      </c>
      <c r="P44" t="s">
        <v>132</v>
      </c>
      <c r="Q44">
        <v>245403</v>
      </c>
    </row>
    <row r="45" spans="1:17" x14ac:dyDescent="0.3">
      <c r="A45" t="s">
        <v>726</v>
      </c>
      <c r="B45" t="s">
        <v>727</v>
      </c>
      <c r="C45" t="s">
        <v>25</v>
      </c>
      <c r="D45" t="s">
        <v>30</v>
      </c>
      <c r="E45">
        <v>36</v>
      </c>
      <c r="F45" t="str">
        <f t="shared" si="1"/>
        <v>adult</v>
      </c>
      <c r="G45">
        <v>130</v>
      </c>
      <c r="H45">
        <v>10</v>
      </c>
      <c r="I45">
        <v>1</v>
      </c>
      <c r="J45">
        <v>1.68</v>
      </c>
      <c r="K45">
        <v>44921</v>
      </c>
      <c r="L45" t="s">
        <v>724</v>
      </c>
      <c r="M45">
        <v>66.7</v>
      </c>
      <c r="N45" t="s">
        <v>2</v>
      </c>
      <c r="O45">
        <v>359</v>
      </c>
      <c r="P45" t="s">
        <v>725</v>
      </c>
      <c r="Q45">
        <v>121354</v>
      </c>
    </row>
    <row r="46" spans="1:17" x14ac:dyDescent="0.3">
      <c r="A46" t="s">
        <v>142</v>
      </c>
      <c r="B46" t="s">
        <v>32</v>
      </c>
      <c r="C46" t="s">
        <v>0</v>
      </c>
      <c r="D46" t="s">
        <v>6</v>
      </c>
      <c r="E46">
        <v>24</v>
      </c>
      <c r="F46" t="str">
        <f t="shared" si="1"/>
        <v>adult</v>
      </c>
      <c r="G46">
        <v>191</v>
      </c>
      <c r="H46">
        <v>30</v>
      </c>
      <c r="I46">
        <v>1</v>
      </c>
      <c r="J46">
        <v>1.68</v>
      </c>
      <c r="K46">
        <v>44775</v>
      </c>
      <c r="L46" t="s">
        <v>140</v>
      </c>
      <c r="M46">
        <v>68.900000000000006</v>
      </c>
      <c r="N46" t="s">
        <v>53</v>
      </c>
      <c r="O46">
        <v>118</v>
      </c>
      <c r="P46" t="s">
        <v>141</v>
      </c>
      <c r="Q46">
        <v>477709</v>
      </c>
    </row>
    <row r="47" spans="1:17" x14ac:dyDescent="0.3">
      <c r="A47" t="s">
        <v>427</v>
      </c>
      <c r="B47" t="s">
        <v>428</v>
      </c>
      <c r="C47" t="s">
        <v>424</v>
      </c>
      <c r="D47" t="s">
        <v>429</v>
      </c>
      <c r="E47">
        <v>30</v>
      </c>
      <c r="F47" t="str">
        <f t="shared" si="1"/>
        <v>adult</v>
      </c>
      <c r="G47">
        <v>-10</v>
      </c>
      <c r="H47">
        <v>85</v>
      </c>
      <c r="I47">
        <v>1</v>
      </c>
      <c r="J47">
        <v>1.52</v>
      </c>
      <c r="K47">
        <v>44625</v>
      </c>
      <c r="L47" t="s">
        <v>425</v>
      </c>
      <c r="M47">
        <v>54.4</v>
      </c>
      <c r="N47" t="s">
        <v>53</v>
      </c>
      <c r="O47">
        <v>189</v>
      </c>
      <c r="P47" t="s">
        <v>426</v>
      </c>
      <c r="Q47">
        <v>922058</v>
      </c>
    </row>
    <row r="48" spans="1:17" x14ac:dyDescent="0.3">
      <c r="A48" t="s">
        <v>130</v>
      </c>
      <c r="B48" t="s">
        <v>131</v>
      </c>
      <c r="C48" t="s">
        <v>25</v>
      </c>
      <c r="D48" t="s">
        <v>30</v>
      </c>
      <c r="E48">
        <v>25</v>
      </c>
      <c r="F48" t="str">
        <f t="shared" si="1"/>
        <v>adult</v>
      </c>
      <c r="G48">
        <v>226</v>
      </c>
      <c r="H48">
        <v>27</v>
      </c>
      <c r="I48">
        <v>1</v>
      </c>
      <c r="J48">
        <v>1.71</v>
      </c>
      <c r="K48">
        <v>44644</v>
      </c>
      <c r="L48" t="s">
        <v>128</v>
      </c>
      <c r="M48">
        <v>76.2</v>
      </c>
      <c r="N48" t="s">
        <v>53</v>
      </c>
      <c r="O48">
        <v>124</v>
      </c>
      <c r="P48" t="s">
        <v>129</v>
      </c>
      <c r="Q48">
        <v>670000</v>
      </c>
    </row>
    <row r="49" spans="1:17" x14ac:dyDescent="0.3">
      <c r="A49" t="s">
        <v>55</v>
      </c>
      <c r="B49" t="s">
        <v>56</v>
      </c>
      <c r="C49" t="s">
        <v>25</v>
      </c>
      <c r="D49" t="s">
        <v>30</v>
      </c>
      <c r="E49">
        <v>23</v>
      </c>
      <c r="F49" t="str">
        <f t="shared" si="1"/>
        <v>adult</v>
      </c>
      <c r="G49">
        <v>376</v>
      </c>
      <c r="H49">
        <v>11</v>
      </c>
      <c r="I49">
        <v>1</v>
      </c>
      <c r="J49">
        <v>1.74</v>
      </c>
      <c r="K49">
        <v>44754</v>
      </c>
      <c r="L49" t="s">
        <v>52</v>
      </c>
      <c r="M49">
        <v>68</v>
      </c>
      <c r="N49" t="s">
        <v>53</v>
      </c>
      <c r="O49">
        <v>108</v>
      </c>
      <c r="P49" t="s">
        <v>54</v>
      </c>
      <c r="Q49">
        <v>349097</v>
      </c>
    </row>
    <row r="50" spans="1:17" x14ac:dyDescent="0.3">
      <c r="A50" t="s">
        <v>55</v>
      </c>
      <c r="B50" t="s">
        <v>591</v>
      </c>
      <c r="C50" t="s">
        <v>588</v>
      </c>
      <c r="D50" t="s">
        <v>592</v>
      </c>
      <c r="E50">
        <v>26</v>
      </c>
      <c r="F50" t="str">
        <f t="shared" si="1"/>
        <v>adult</v>
      </c>
      <c r="G50">
        <v>-27</v>
      </c>
      <c r="H50">
        <v>102</v>
      </c>
      <c r="I50">
        <v>1</v>
      </c>
      <c r="J50">
        <v>1.58</v>
      </c>
      <c r="K50">
        <v>44694</v>
      </c>
      <c r="L50" t="s">
        <v>589</v>
      </c>
      <c r="M50">
        <v>57.6</v>
      </c>
      <c r="N50" t="s">
        <v>53</v>
      </c>
      <c r="O50">
        <v>195</v>
      </c>
      <c r="P50" t="s">
        <v>590</v>
      </c>
      <c r="Q50">
        <v>1169213</v>
      </c>
    </row>
    <row r="51" spans="1:17" x14ac:dyDescent="0.3">
      <c r="A51" t="s">
        <v>738</v>
      </c>
      <c r="B51" t="s">
        <v>739</v>
      </c>
      <c r="C51" t="s">
        <v>61</v>
      </c>
      <c r="D51" t="s">
        <v>66</v>
      </c>
      <c r="E51">
        <v>40</v>
      </c>
      <c r="F51" t="str">
        <f t="shared" si="1"/>
        <v>adult</v>
      </c>
      <c r="G51">
        <v>560</v>
      </c>
      <c r="H51">
        <v>3</v>
      </c>
      <c r="I51">
        <v>1</v>
      </c>
      <c r="J51">
        <v>1.71</v>
      </c>
      <c r="K51">
        <v>44843</v>
      </c>
      <c r="L51" t="s">
        <v>736</v>
      </c>
      <c r="M51">
        <v>67.099999999999994</v>
      </c>
      <c r="N51" t="s">
        <v>2</v>
      </c>
      <c r="O51">
        <v>401</v>
      </c>
      <c r="P51" t="s">
        <v>737</v>
      </c>
      <c r="Q51">
        <v>421299</v>
      </c>
    </row>
    <row r="52" spans="1:17" x14ac:dyDescent="0.3">
      <c r="A52" t="s">
        <v>873</v>
      </c>
      <c r="B52" t="s">
        <v>874</v>
      </c>
      <c r="C52" t="s">
        <v>13</v>
      </c>
      <c r="D52" t="s">
        <v>18</v>
      </c>
      <c r="E52">
        <v>57</v>
      </c>
      <c r="F52" t="str">
        <f t="shared" si="1"/>
        <v>adult</v>
      </c>
      <c r="G52">
        <v>220</v>
      </c>
      <c r="H52">
        <v>9</v>
      </c>
      <c r="I52">
        <v>1</v>
      </c>
      <c r="J52">
        <v>1.74</v>
      </c>
      <c r="K52">
        <v>44909</v>
      </c>
      <c r="L52" t="s">
        <v>871</v>
      </c>
      <c r="M52">
        <v>59</v>
      </c>
      <c r="N52" t="s">
        <v>2</v>
      </c>
      <c r="O52">
        <v>558</v>
      </c>
      <c r="P52" t="s">
        <v>872</v>
      </c>
      <c r="Q52">
        <v>13813</v>
      </c>
    </row>
    <row r="53" spans="1:17" x14ac:dyDescent="0.3">
      <c r="A53" t="s">
        <v>911</v>
      </c>
      <c r="B53" t="s">
        <v>912</v>
      </c>
      <c r="C53" t="s">
        <v>61</v>
      </c>
      <c r="D53" t="s">
        <v>66</v>
      </c>
      <c r="E53">
        <v>60</v>
      </c>
      <c r="F53" t="str">
        <f t="shared" si="1"/>
        <v>adult</v>
      </c>
      <c r="G53">
        <v>190</v>
      </c>
      <c r="H53">
        <v>10</v>
      </c>
      <c r="I53">
        <v>1</v>
      </c>
      <c r="J53">
        <v>1.68</v>
      </c>
      <c r="K53">
        <v>44907</v>
      </c>
      <c r="L53" t="s">
        <v>909</v>
      </c>
      <c r="M53">
        <v>55.8</v>
      </c>
      <c r="N53" t="s">
        <v>364</v>
      </c>
      <c r="O53">
        <v>609</v>
      </c>
      <c r="P53" t="s">
        <v>910</v>
      </c>
      <c r="Q53">
        <v>62910</v>
      </c>
    </row>
    <row r="54" spans="1:17" x14ac:dyDescent="0.3">
      <c r="A54" t="s">
        <v>835</v>
      </c>
      <c r="B54" t="s">
        <v>836</v>
      </c>
      <c r="C54" t="s">
        <v>0</v>
      </c>
      <c r="D54" t="s">
        <v>6</v>
      </c>
      <c r="E54">
        <v>51</v>
      </c>
      <c r="F54" t="str">
        <f t="shared" si="1"/>
        <v>adult</v>
      </c>
      <c r="G54">
        <v>280</v>
      </c>
      <c r="H54">
        <v>9</v>
      </c>
      <c r="I54">
        <v>1</v>
      </c>
      <c r="J54">
        <v>1.65</v>
      </c>
      <c r="K54">
        <v>44784</v>
      </c>
      <c r="L54" t="s">
        <v>833</v>
      </c>
      <c r="M54">
        <v>59</v>
      </c>
      <c r="N54" t="s">
        <v>2</v>
      </c>
      <c r="O54">
        <v>509</v>
      </c>
      <c r="P54" t="s">
        <v>834</v>
      </c>
      <c r="Q54">
        <v>195717</v>
      </c>
    </row>
    <row r="55" spans="1:17" x14ac:dyDescent="0.3">
      <c r="A55" t="s">
        <v>608</v>
      </c>
      <c r="B55" t="s">
        <v>609</v>
      </c>
      <c r="C55" t="s">
        <v>605</v>
      </c>
      <c r="D55" t="s">
        <v>610</v>
      </c>
      <c r="E55">
        <v>21</v>
      </c>
      <c r="F55" t="str">
        <f t="shared" si="1"/>
        <v>adult</v>
      </c>
      <c r="G55">
        <v>-42</v>
      </c>
      <c r="H55">
        <v>117</v>
      </c>
      <c r="I55">
        <v>1</v>
      </c>
      <c r="J55">
        <v>1.74</v>
      </c>
      <c r="K55">
        <v>44709</v>
      </c>
      <c r="L55" t="s">
        <v>606</v>
      </c>
      <c r="M55">
        <v>66.7</v>
      </c>
      <c r="N55" t="s">
        <v>53</v>
      </c>
      <c r="O55">
        <v>206</v>
      </c>
      <c r="P55" t="s">
        <v>607</v>
      </c>
      <c r="Q55">
        <v>1131171</v>
      </c>
    </row>
    <row r="56" spans="1:17" x14ac:dyDescent="0.3">
      <c r="A56" t="s">
        <v>614</v>
      </c>
      <c r="B56" t="s">
        <v>615</v>
      </c>
      <c r="C56" t="s">
        <v>611</v>
      </c>
      <c r="D56" t="s">
        <v>616</v>
      </c>
      <c r="E56">
        <v>33</v>
      </c>
      <c r="F56" t="str">
        <f t="shared" si="1"/>
        <v>adult</v>
      </c>
      <c r="G56">
        <v>-42</v>
      </c>
      <c r="H56">
        <v>117</v>
      </c>
      <c r="I56">
        <v>1</v>
      </c>
      <c r="J56">
        <v>1.8</v>
      </c>
      <c r="K56">
        <v>44638</v>
      </c>
      <c r="L56" t="s">
        <v>612</v>
      </c>
      <c r="M56">
        <v>73.900000000000006</v>
      </c>
      <c r="N56" t="s">
        <v>53</v>
      </c>
      <c r="O56">
        <v>177</v>
      </c>
      <c r="P56" t="s">
        <v>613</v>
      </c>
      <c r="Q56">
        <v>419506</v>
      </c>
    </row>
    <row r="57" spans="1:17" x14ac:dyDescent="0.3">
      <c r="A57" t="s">
        <v>892</v>
      </c>
      <c r="B57" t="s">
        <v>893</v>
      </c>
      <c r="C57" t="s">
        <v>13</v>
      </c>
      <c r="D57" t="s">
        <v>18</v>
      </c>
      <c r="E57">
        <v>60</v>
      </c>
      <c r="F57" t="str">
        <f t="shared" si="1"/>
        <v>adult</v>
      </c>
      <c r="G57">
        <v>400</v>
      </c>
      <c r="H57">
        <v>5</v>
      </c>
      <c r="I57">
        <v>1</v>
      </c>
      <c r="J57">
        <v>1.71</v>
      </c>
      <c r="K57">
        <v>44909</v>
      </c>
      <c r="L57" t="s">
        <v>871</v>
      </c>
      <c r="M57">
        <v>59.9</v>
      </c>
      <c r="N57" t="s">
        <v>2</v>
      </c>
      <c r="O57">
        <v>604</v>
      </c>
      <c r="P57" t="s">
        <v>891</v>
      </c>
      <c r="Q57">
        <v>243666</v>
      </c>
    </row>
    <row r="58" spans="1:17" x14ac:dyDescent="0.3">
      <c r="A58" t="s">
        <v>511</v>
      </c>
      <c r="B58" t="s">
        <v>512</v>
      </c>
      <c r="C58" t="s">
        <v>191</v>
      </c>
      <c r="D58" t="s">
        <v>195</v>
      </c>
      <c r="E58">
        <v>30</v>
      </c>
      <c r="F58" t="str">
        <f t="shared" si="1"/>
        <v>adult</v>
      </c>
      <c r="G58">
        <v>-17</v>
      </c>
      <c r="H58">
        <v>92</v>
      </c>
      <c r="I58">
        <v>1</v>
      </c>
      <c r="J58">
        <v>1.55</v>
      </c>
      <c r="K58">
        <v>44637</v>
      </c>
      <c r="L58" t="s">
        <v>509</v>
      </c>
      <c r="M58">
        <v>79.8</v>
      </c>
      <c r="N58" t="s">
        <v>53</v>
      </c>
      <c r="O58">
        <v>154</v>
      </c>
      <c r="P58" t="s">
        <v>510</v>
      </c>
      <c r="Q58">
        <v>101929</v>
      </c>
    </row>
    <row r="59" spans="1:17" x14ac:dyDescent="0.3">
      <c r="A59" t="s">
        <v>800</v>
      </c>
      <c r="B59" t="s">
        <v>801</v>
      </c>
      <c r="C59" t="s">
        <v>247</v>
      </c>
      <c r="D59" t="s">
        <v>252</v>
      </c>
      <c r="E59">
        <v>48</v>
      </c>
      <c r="F59" t="str">
        <f t="shared" si="1"/>
        <v>adult</v>
      </c>
      <c r="G59">
        <v>20</v>
      </c>
      <c r="H59">
        <v>10</v>
      </c>
      <c r="I59">
        <v>1</v>
      </c>
      <c r="J59">
        <v>1.68</v>
      </c>
      <c r="K59">
        <v>44877</v>
      </c>
      <c r="L59" t="s">
        <v>798</v>
      </c>
      <c r="M59">
        <v>68</v>
      </c>
      <c r="N59" t="s">
        <v>364</v>
      </c>
      <c r="O59">
        <v>459</v>
      </c>
      <c r="P59" t="s">
        <v>799</v>
      </c>
      <c r="Q59">
        <v>586578</v>
      </c>
    </row>
    <row r="60" spans="1:17" x14ac:dyDescent="0.3">
      <c r="A60" t="s">
        <v>903</v>
      </c>
      <c r="B60" t="s">
        <v>904</v>
      </c>
      <c r="C60" t="s">
        <v>25</v>
      </c>
      <c r="D60" t="s">
        <v>30</v>
      </c>
      <c r="E60">
        <v>62</v>
      </c>
      <c r="F60" t="str">
        <f t="shared" si="1"/>
        <v>adult</v>
      </c>
      <c r="G60">
        <v>290</v>
      </c>
      <c r="H60">
        <v>8</v>
      </c>
      <c r="I60">
        <v>1</v>
      </c>
      <c r="J60">
        <v>1.25</v>
      </c>
      <c r="K60">
        <v>44782</v>
      </c>
      <c r="L60" t="s">
        <v>901</v>
      </c>
      <c r="M60">
        <v>50.8</v>
      </c>
      <c r="N60" t="s">
        <v>2</v>
      </c>
      <c r="O60">
        <v>607</v>
      </c>
      <c r="P60" t="s">
        <v>902</v>
      </c>
      <c r="Q60">
        <v>32842</v>
      </c>
    </row>
    <row r="61" spans="1:17" x14ac:dyDescent="0.3">
      <c r="A61" t="s">
        <v>271</v>
      </c>
      <c r="B61" t="s">
        <v>272</v>
      </c>
      <c r="C61" t="s">
        <v>268</v>
      </c>
      <c r="D61" t="s">
        <v>273</v>
      </c>
      <c r="E61">
        <v>32</v>
      </c>
      <c r="F61" t="str">
        <f t="shared" si="1"/>
        <v>adult</v>
      </c>
      <c r="G61">
        <v>40</v>
      </c>
      <c r="H61">
        <v>57</v>
      </c>
      <c r="I61">
        <v>1</v>
      </c>
      <c r="J61">
        <v>1.68</v>
      </c>
      <c r="K61">
        <v>44725</v>
      </c>
      <c r="L61" t="s">
        <v>269</v>
      </c>
      <c r="M61">
        <v>68</v>
      </c>
      <c r="N61" t="s">
        <v>53</v>
      </c>
      <c r="O61">
        <v>135</v>
      </c>
      <c r="P61" t="s">
        <v>270</v>
      </c>
      <c r="Q61">
        <v>39517</v>
      </c>
    </row>
    <row r="62" spans="1:17" x14ac:dyDescent="0.3">
      <c r="A62" t="s">
        <v>94</v>
      </c>
      <c r="B62" t="s">
        <v>95</v>
      </c>
      <c r="C62" t="s">
        <v>61</v>
      </c>
      <c r="D62" t="s">
        <v>66</v>
      </c>
      <c r="E62">
        <v>30</v>
      </c>
      <c r="F62" t="str">
        <f t="shared" si="1"/>
        <v>adult</v>
      </c>
      <c r="G62">
        <v>317</v>
      </c>
      <c r="H62">
        <v>19</v>
      </c>
      <c r="I62">
        <v>1</v>
      </c>
      <c r="J62">
        <v>1.74</v>
      </c>
      <c r="K62" t="s">
        <v>930</v>
      </c>
      <c r="L62" t="s">
        <v>930</v>
      </c>
      <c r="M62">
        <v>68</v>
      </c>
      <c r="N62" t="s">
        <v>53</v>
      </c>
      <c r="O62">
        <v>314</v>
      </c>
      <c r="P62" t="s">
        <v>93</v>
      </c>
      <c r="Q62">
        <v>484380</v>
      </c>
    </row>
    <row r="63" spans="1:17" x14ac:dyDescent="0.3">
      <c r="A63" t="s">
        <v>103</v>
      </c>
      <c r="B63" t="s">
        <v>104</v>
      </c>
      <c r="C63" t="s">
        <v>100</v>
      </c>
      <c r="D63" t="s">
        <v>105</v>
      </c>
      <c r="E63">
        <v>29</v>
      </c>
      <c r="F63" t="str">
        <f t="shared" si="1"/>
        <v>adult</v>
      </c>
      <c r="G63">
        <v>255</v>
      </c>
      <c r="H63">
        <v>21</v>
      </c>
      <c r="I63">
        <v>1</v>
      </c>
      <c r="J63">
        <v>1.68</v>
      </c>
      <c r="K63">
        <v>44667</v>
      </c>
      <c r="L63" t="s">
        <v>101</v>
      </c>
      <c r="M63">
        <v>64</v>
      </c>
      <c r="N63" t="s">
        <v>53</v>
      </c>
      <c r="O63">
        <v>128</v>
      </c>
      <c r="P63" t="s">
        <v>102</v>
      </c>
      <c r="Q63">
        <v>239442</v>
      </c>
    </row>
    <row r="64" spans="1:17" x14ac:dyDescent="0.3">
      <c r="A64" t="s">
        <v>103</v>
      </c>
      <c r="B64" t="s">
        <v>149</v>
      </c>
      <c r="C64" t="s">
        <v>135</v>
      </c>
      <c r="D64" t="s">
        <v>139</v>
      </c>
      <c r="E64">
        <v>27</v>
      </c>
      <c r="F64" t="str">
        <f t="shared" si="1"/>
        <v>adult</v>
      </c>
      <c r="G64">
        <v>168</v>
      </c>
      <c r="H64">
        <v>32</v>
      </c>
      <c r="I64">
        <v>1</v>
      </c>
      <c r="J64">
        <v>1.71</v>
      </c>
      <c r="K64">
        <v>44957</v>
      </c>
      <c r="L64" t="s">
        <v>147</v>
      </c>
      <c r="M64">
        <v>69.900000000000006</v>
      </c>
      <c r="N64" t="s">
        <v>53</v>
      </c>
      <c r="O64">
        <v>305</v>
      </c>
      <c r="P64" t="s">
        <v>148</v>
      </c>
      <c r="Q64">
        <v>887297</v>
      </c>
    </row>
    <row r="65" spans="1:17" x14ac:dyDescent="0.3">
      <c r="A65" t="s">
        <v>245</v>
      </c>
      <c r="B65" t="s">
        <v>246</v>
      </c>
      <c r="C65" t="s">
        <v>25</v>
      </c>
      <c r="D65" t="s">
        <v>30</v>
      </c>
      <c r="E65">
        <v>28</v>
      </c>
      <c r="F65" t="str">
        <f t="shared" si="1"/>
        <v>adult</v>
      </c>
      <c r="G65">
        <v>48</v>
      </c>
      <c r="H65">
        <v>52</v>
      </c>
      <c r="I65">
        <v>1</v>
      </c>
      <c r="J65">
        <v>1.74</v>
      </c>
      <c r="K65">
        <v>44954</v>
      </c>
      <c r="L65" t="s">
        <v>243</v>
      </c>
      <c r="M65">
        <v>65.8</v>
      </c>
      <c r="N65" t="s">
        <v>53</v>
      </c>
      <c r="O65">
        <v>307</v>
      </c>
      <c r="P65" t="s">
        <v>244</v>
      </c>
      <c r="Q65">
        <v>151555</v>
      </c>
    </row>
    <row r="66" spans="1:17" x14ac:dyDescent="0.3">
      <c r="A66" t="s">
        <v>122</v>
      </c>
      <c r="B66" t="s">
        <v>123</v>
      </c>
      <c r="C66" t="s">
        <v>25</v>
      </c>
      <c r="D66" t="s">
        <v>30</v>
      </c>
      <c r="E66">
        <v>24</v>
      </c>
      <c r="F66" t="str">
        <f t="shared" ref="F66:F97" si="2">IF(E66&lt;18,"teen","adult")</f>
        <v>adult</v>
      </c>
      <c r="G66">
        <v>237</v>
      </c>
      <c r="H66">
        <v>25</v>
      </c>
      <c r="I66">
        <v>1</v>
      </c>
      <c r="J66">
        <v>1.58</v>
      </c>
      <c r="K66">
        <v>44597</v>
      </c>
      <c r="L66" t="s">
        <v>120</v>
      </c>
      <c r="M66">
        <v>57.6</v>
      </c>
      <c r="N66" t="s">
        <v>53</v>
      </c>
      <c r="O66">
        <v>112</v>
      </c>
      <c r="P66" t="s">
        <v>121</v>
      </c>
      <c r="Q66">
        <v>252691</v>
      </c>
    </row>
    <row r="67" spans="1:17" x14ac:dyDescent="0.3">
      <c r="A67" t="s">
        <v>404</v>
      </c>
      <c r="B67" t="s">
        <v>405</v>
      </c>
      <c r="C67" t="s">
        <v>401</v>
      </c>
      <c r="D67" t="s">
        <v>406</v>
      </c>
      <c r="E67">
        <v>26</v>
      </c>
      <c r="F67" t="str">
        <f t="shared" si="2"/>
        <v>adult</v>
      </c>
      <c r="G67">
        <v>-6</v>
      </c>
      <c r="H67">
        <v>81</v>
      </c>
      <c r="I67">
        <v>1</v>
      </c>
      <c r="J67">
        <v>1.62</v>
      </c>
      <c r="K67">
        <v>44720</v>
      </c>
      <c r="L67" t="s">
        <v>402</v>
      </c>
      <c r="M67">
        <v>63.5</v>
      </c>
      <c r="N67" t="s">
        <v>53</v>
      </c>
      <c r="O67">
        <v>180</v>
      </c>
      <c r="P67" t="s">
        <v>403</v>
      </c>
      <c r="Q67">
        <v>978472</v>
      </c>
    </row>
    <row r="68" spans="1:17" x14ac:dyDescent="0.3">
      <c r="A68" t="s">
        <v>816</v>
      </c>
      <c r="B68" t="s">
        <v>817</v>
      </c>
      <c r="C68" t="s">
        <v>154</v>
      </c>
      <c r="D68" t="s">
        <v>159</v>
      </c>
      <c r="E68">
        <v>50</v>
      </c>
      <c r="F68" t="str">
        <f t="shared" si="2"/>
        <v>adult</v>
      </c>
      <c r="G68">
        <v>530</v>
      </c>
      <c r="H68">
        <v>4</v>
      </c>
      <c r="I68">
        <v>1</v>
      </c>
      <c r="J68">
        <v>1.65</v>
      </c>
      <c r="K68">
        <v>44891</v>
      </c>
      <c r="L68" t="s">
        <v>814</v>
      </c>
      <c r="M68">
        <v>57.2</v>
      </c>
      <c r="N68" t="s">
        <v>2</v>
      </c>
      <c r="O68">
        <v>505</v>
      </c>
      <c r="P68" t="s">
        <v>815</v>
      </c>
      <c r="Q68">
        <v>213252</v>
      </c>
    </row>
    <row r="69" spans="1:17" x14ac:dyDescent="0.3">
      <c r="A69" t="s">
        <v>382</v>
      </c>
      <c r="B69" t="s">
        <v>383</v>
      </c>
      <c r="C69" t="s">
        <v>379</v>
      </c>
      <c r="D69" t="s">
        <v>384</v>
      </c>
      <c r="E69">
        <v>20</v>
      </c>
      <c r="F69" t="str">
        <f t="shared" si="2"/>
        <v>adult</v>
      </c>
      <c r="G69">
        <v>-2</v>
      </c>
      <c r="H69">
        <v>77</v>
      </c>
      <c r="I69">
        <v>1</v>
      </c>
      <c r="J69">
        <v>1.74</v>
      </c>
      <c r="K69">
        <v>44654</v>
      </c>
      <c r="L69" t="s">
        <v>380</v>
      </c>
      <c r="M69">
        <v>72.099999999999994</v>
      </c>
      <c r="N69" t="s">
        <v>53</v>
      </c>
      <c r="O69">
        <v>132</v>
      </c>
      <c r="P69" t="s">
        <v>381</v>
      </c>
      <c r="Q69">
        <v>764556</v>
      </c>
    </row>
    <row r="70" spans="1:17" x14ac:dyDescent="0.3">
      <c r="A70" t="s">
        <v>382</v>
      </c>
      <c r="B70" t="s">
        <v>575</v>
      </c>
      <c r="C70" t="s">
        <v>573</v>
      </c>
      <c r="D70" t="s">
        <v>576</v>
      </c>
      <c r="E70">
        <v>28</v>
      </c>
      <c r="F70" t="str">
        <f t="shared" si="2"/>
        <v>adult</v>
      </c>
      <c r="G70">
        <v>-27</v>
      </c>
      <c r="H70">
        <v>102</v>
      </c>
      <c r="I70">
        <v>1</v>
      </c>
      <c r="J70">
        <v>1.71</v>
      </c>
      <c r="K70" t="s">
        <v>930</v>
      </c>
      <c r="L70" t="s">
        <v>930</v>
      </c>
      <c r="M70">
        <v>61.2</v>
      </c>
      <c r="N70" t="s">
        <v>53</v>
      </c>
      <c r="O70">
        <v>160</v>
      </c>
      <c r="P70" t="s">
        <v>574</v>
      </c>
      <c r="Q70">
        <v>687711</v>
      </c>
    </row>
    <row r="71" spans="1:17" x14ac:dyDescent="0.3">
      <c r="A71" t="s">
        <v>359</v>
      </c>
      <c r="B71" t="s">
        <v>360</v>
      </c>
      <c r="C71" t="s">
        <v>356</v>
      </c>
      <c r="D71" t="s">
        <v>361</v>
      </c>
      <c r="E71">
        <v>32</v>
      </c>
      <c r="F71" t="str">
        <f t="shared" si="2"/>
        <v>adult</v>
      </c>
      <c r="G71">
        <v>17</v>
      </c>
      <c r="H71">
        <v>73</v>
      </c>
      <c r="I71">
        <v>1</v>
      </c>
      <c r="J71">
        <v>1.68</v>
      </c>
      <c r="K71">
        <v>44686</v>
      </c>
      <c r="L71" t="s">
        <v>357</v>
      </c>
      <c r="M71">
        <v>63</v>
      </c>
      <c r="N71" t="s">
        <v>53</v>
      </c>
      <c r="O71">
        <v>147</v>
      </c>
      <c r="P71" t="s">
        <v>358</v>
      </c>
      <c r="Q71">
        <v>156732</v>
      </c>
    </row>
    <row r="72" spans="1:17" x14ac:dyDescent="0.3">
      <c r="A72" t="s">
        <v>451</v>
      </c>
      <c r="B72" t="s">
        <v>452</v>
      </c>
      <c r="C72" t="s">
        <v>448</v>
      </c>
      <c r="D72" t="s">
        <v>453</v>
      </c>
      <c r="E72">
        <v>32</v>
      </c>
      <c r="F72" t="str">
        <f t="shared" si="2"/>
        <v>adult</v>
      </c>
      <c r="G72">
        <v>-14</v>
      </c>
      <c r="H72">
        <v>89</v>
      </c>
      <c r="I72">
        <v>1</v>
      </c>
      <c r="J72">
        <v>1.55</v>
      </c>
      <c r="K72">
        <v>44619</v>
      </c>
      <c r="L72" t="s">
        <v>449</v>
      </c>
      <c r="M72">
        <v>61.2</v>
      </c>
      <c r="N72" t="s">
        <v>53</v>
      </c>
      <c r="O72">
        <v>196</v>
      </c>
      <c r="P72" t="s">
        <v>450</v>
      </c>
      <c r="Q72">
        <v>297753</v>
      </c>
    </row>
    <row r="73" spans="1:17" x14ac:dyDescent="0.3">
      <c r="A73" t="s">
        <v>32</v>
      </c>
      <c r="B73" t="s">
        <v>33</v>
      </c>
      <c r="C73" t="s">
        <v>25</v>
      </c>
      <c r="D73" t="s">
        <v>30</v>
      </c>
      <c r="E73">
        <v>18</v>
      </c>
      <c r="F73" t="str">
        <f t="shared" si="2"/>
        <v>adult</v>
      </c>
      <c r="G73">
        <v>711</v>
      </c>
      <c r="H73">
        <v>6</v>
      </c>
      <c r="I73">
        <v>1</v>
      </c>
      <c r="J73">
        <v>1.71</v>
      </c>
      <c r="K73">
        <v>44632</v>
      </c>
      <c r="L73" t="s">
        <v>1</v>
      </c>
      <c r="M73">
        <v>64.900000000000006</v>
      </c>
      <c r="N73" t="s">
        <v>2</v>
      </c>
      <c r="O73">
        <v>116</v>
      </c>
      <c r="P73" t="s">
        <v>31</v>
      </c>
      <c r="Q73">
        <v>671666</v>
      </c>
    </row>
    <row r="74" spans="1:17" x14ac:dyDescent="0.3">
      <c r="A74" t="s">
        <v>177</v>
      </c>
      <c r="B74" t="s">
        <v>178</v>
      </c>
      <c r="C74" t="s">
        <v>135</v>
      </c>
      <c r="D74" t="s">
        <v>139</v>
      </c>
      <c r="E74">
        <v>26</v>
      </c>
      <c r="F74" t="str">
        <f t="shared" si="2"/>
        <v>adult</v>
      </c>
      <c r="G74">
        <v>132</v>
      </c>
      <c r="H74">
        <v>38</v>
      </c>
      <c r="I74">
        <v>1</v>
      </c>
      <c r="J74">
        <v>1.8</v>
      </c>
      <c r="K74">
        <v>44592</v>
      </c>
      <c r="L74" t="s">
        <v>175</v>
      </c>
      <c r="M74">
        <v>79.8</v>
      </c>
      <c r="N74" t="s">
        <v>53</v>
      </c>
      <c r="O74">
        <v>309</v>
      </c>
      <c r="P74" t="s">
        <v>176</v>
      </c>
      <c r="Q74">
        <v>796219</v>
      </c>
    </row>
    <row r="75" spans="1:17" x14ac:dyDescent="0.3">
      <c r="A75" t="s">
        <v>522</v>
      </c>
      <c r="B75" t="s">
        <v>523</v>
      </c>
      <c r="C75" t="s">
        <v>519</v>
      </c>
      <c r="D75" t="s">
        <v>524</v>
      </c>
      <c r="E75">
        <v>33</v>
      </c>
      <c r="F75" t="str">
        <f t="shared" si="2"/>
        <v>adult</v>
      </c>
      <c r="G75">
        <v>-27</v>
      </c>
      <c r="H75">
        <v>102</v>
      </c>
      <c r="I75">
        <v>1</v>
      </c>
      <c r="J75">
        <v>1.65</v>
      </c>
      <c r="K75">
        <v>44646</v>
      </c>
      <c r="L75" t="s">
        <v>520</v>
      </c>
      <c r="M75">
        <v>58.1</v>
      </c>
      <c r="N75" t="s">
        <v>53</v>
      </c>
      <c r="O75">
        <v>162</v>
      </c>
      <c r="P75" t="s">
        <v>521</v>
      </c>
      <c r="Q75">
        <v>56664</v>
      </c>
    </row>
    <row r="76" spans="1:17" x14ac:dyDescent="0.3">
      <c r="A76" t="s">
        <v>703</v>
      </c>
      <c r="B76" t="s">
        <v>704</v>
      </c>
      <c r="C76" t="s">
        <v>25</v>
      </c>
      <c r="D76" t="s">
        <v>30</v>
      </c>
      <c r="E76">
        <v>36</v>
      </c>
      <c r="F76" t="str">
        <f t="shared" si="2"/>
        <v>adult</v>
      </c>
      <c r="G76">
        <v>540</v>
      </c>
      <c r="H76">
        <v>4</v>
      </c>
      <c r="I76">
        <v>1</v>
      </c>
      <c r="J76">
        <v>1.55</v>
      </c>
      <c r="K76">
        <v>44910</v>
      </c>
      <c r="L76" t="s">
        <v>701</v>
      </c>
      <c r="M76">
        <v>61.2</v>
      </c>
      <c r="N76" t="s">
        <v>2</v>
      </c>
      <c r="O76">
        <v>353</v>
      </c>
      <c r="P76" t="s">
        <v>702</v>
      </c>
      <c r="Q76">
        <v>313257</v>
      </c>
    </row>
    <row r="77" spans="1:17" x14ac:dyDescent="0.3">
      <c r="A77" t="s">
        <v>854</v>
      </c>
      <c r="B77" t="s">
        <v>855</v>
      </c>
      <c r="C77" t="s">
        <v>25</v>
      </c>
      <c r="D77" t="s">
        <v>30</v>
      </c>
      <c r="E77">
        <v>56</v>
      </c>
      <c r="F77" t="str">
        <f t="shared" si="2"/>
        <v>adult</v>
      </c>
      <c r="G77">
        <v>430</v>
      </c>
      <c r="H77">
        <v>4</v>
      </c>
      <c r="I77">
        <v>1</v>
      </c>
      <c r="J77">
        <v>1.65</v>
      </c>
      <c r="K77">
        <v>44898</v>
      </c>
      <c r="L77" t="s">
        <v>852</v>
      </c>
      <c r="M77">
        <v>63.5</v>
      </c>
      <c r="N77" t="s">
        <v>2</v>
      </c>
      <c r="O77">
        <v>553</v>
      </c>
      <c r="P77" t="s">
        <v>853</v>
      </c>
      <c r="Q77">
        <v>29279</v>
      </c>
    </row>
    <row r="78" spans="1:17" x14ac:dyDescent="0.3">
      <c r="A78" t="s">
        <v>336</v>
      </c>
      <c r="B78" t="s">
        <v>337</v>
      </c>
      <c r="C78" t="s">
        <v>333</v>
      </c>
      <c r="D78" t="s">
        <v>338</v>
      </c>
      <c r="E78">
        <v>25</v>
      </c>
      <c r="F78" t="str">
        <f t="shared" si="2"/>
        <v>adult</v>
      </c>
      <c r="G78">
        <v>19</v>
      </c>
      <c r="H78">
        <v>69</v>
      </c>
      <c r="I78">
        <v>1</v>
      </c>
      <c r="J78">
        <v>1.68</v>
      </c>
      <c r="K78">
        <v>44664</v>
      </c>
      <c r="L78" t="s">
        <v>334</v>
      </c>
      <c r="M78">
        <v>60.8</v>
      </c>
      <c r="N78" t="s">
        <v>53</v>
      </c>
      <c r="O78">
        <v>183</v>
      </c>
      <c r="P78" t="s">
        <v>335</v>
      </c>
      <c r="Q78">
        <v>331478</v>
      </c>
    </row>
    <row r="79" spans="1:17" x14ac:dyDescent="0.3">
      <c r="A79" t="s">
        <v>219</v>
      </c>
      <c r="B79" t="s">
        <v>220</v>
      </c>
      <c r="C79" t="s">
        <v>7</v>
      </c>
      <c r="D79" t="s">
        <v>12</v>
      </c>
      <c r="E79">
        <v>27</v>
      </c>
      <c r="F79" t="str">
        <f t="shared" si="2"/>
        <v>adult</v>
      </c>
      <c r="G79">
        <v>77</v>
      </c>
      <c r="H79">
        <v>47</v>
      </c>
      <c r="I79">
        <v>1</v>
      </c>
      <c r="J79">
        <v>1.71</v>
      </c>
      <c r="K79">
        <v>44735</v>
      </c>
      <c r="L79" t="s">
        <v>217</v>
      </c>
      <c r="M79">
        <v>67.099999999999994</v>
      </c>
      <c r="N79" t="s">
        <v>53</v>
      </c>
      <c r="O79">
        <v>111</v>
      </c>
      <c r="P79" t="s">
        <v>218</v>
      </c>
      <c r="Q79">
        <v>299053</v>
      </c>
    </row>
    <row r="80" spans="1:17" x14ac:dyDescent="0.3">
      <c r="A80" t="s">
        <v>16</v>
      </c>
      <c r="B80" t="s">
        <v>17</v>
      </c>
      <c r="C80" t="s">
        <v>13</v>
      </c>
      <c r="D80" t="s">
        <v>18</v>
      </c>
      <c r="E80">
        <v>28</v>
      </c>
      <c r="F80" t="str">
        <f t="shared" si="2"/>
        <v>adult</v>
      </c>
      <c r="G80">
        <v>851</v>
      </c>
      <c r="H80">
        <v>3</v>
      </c>
      <c r="I80">
        <v>1</v>
      </c>
      <c r="J80">
        <v>1.65</v>
      </c>
      <c r="K80">
        <v>44663</v>
      </c>
      <c r="L80" t="s">
        <v>14</v>
      </c>
      <c r="M80">
        <v>61.2</v>
      </c>
      <c r="N80" t="s">
        <v>2</v>
      </c>
      <c r="O80">
        <v>123</v>
      </c>
      <c r="P80" t="s">
        <v>15</v>
      </c>
      <c r="Q80">
        <v>264512</v>
      </c>
    </row>
    <row r="81" spans="1:17" x14ac:dyDescent="0.3">
      <c r="A81" t="s">
        <v>804</v>
      </c>
      <c r="B81" t="s">
        <v>805</v>
      </c>
      <c r="C81" t="s">
        <v>25</v>
      </c>
      <c r="D81" t="s">
        <v>30</v>
      </c>
      <c r="E81">
        <v>50</v>
      </c>
      <c r="F81" t="str">
        <f t="shared" si="2"/>
        <v>adult</v>
      </c>
      <c r="G81">
        <v>650</v>
      </c>
      <c r="H81">
        <v>1</v>
      </c>
      <c r="I81">
        <v>1</v>
      </c>
      <c r="J81">
        <v>1.74</v>
      </c>
      <c r="K81">
        <v>44857</v>
      </c>
      <c r="L81" t="s">
        <v>802</v>
      </c>
      <c r="M81">
        <v>64.400000000000006</v>
      </c>
      <c r="N81" t="s">
        <v>2</v>
      </c>
      <c r="O81">
        <v>506</v>
      </c>
      <c r="P81" t="s">
        <v>803</v>
      </c>
      <c r="Q81">
        <v>710834</v>
      </c>
    </row>
    <row r="82" spans="1:17" x14ac:dyDescent="0.3">
      <c r="A82" t="s">
        <v>768</v>
      </c>
      <c r="B82" t="s">
        <v>769</v>
      </c>
      <c r="C82" t="s">
        <v>25</v>
      </c>
      <c r="D82" t="s">
        <v>30</v>
      </c>
      <c r="E82">
        <v>45</v>
      </c>
      <c r="F82" t="str">
        <f t="shared" si="2"/>
        <v>adult</v>
      </c>
      <c r="G82">
        <v>640</v>
      </c>
      <c r="H82">
        <v>1</v>
      </c>
      <c r="I82">
        <v>1</v>
      </c>
      <c r="J82">
        <v>1.65</v>
      </c>
      <c r="K82">
        <v>44914</v>
      </c>
      <c r="L82" t="s">
        <v>766</v>
      </c>
      <c r="M82">
        <v>66.7</v>
      </c>
      <c r="N82" t="s">
        <v>2</v>
      </c>
      <c r="O82">
        <v>452</v>
      </c>
      <c r="P82" t="s">
        <v>767</v>
      </c>
      <c r="Q82">
        <v>9184</v>
      </c>
    </row>
    <row r="83" spans="1:17" x14ac:dyDescent="0.3">
      <c r="A83" t="s">
        <v>718</v>
      </c>
      <c r="B83" t="s">
        <v>719</v>
      </c>
      <c r="C83" t="s">
        <v>25</v>
      </c>
      <c r="D83" t="s">
        <v>30</v>
      </c>
      <c r="E83">
        <v>39</v>
      </c>
      <c r="F83" t="str">
        <f t="shared" si="2"/>
        <v>adult</v>
      </c>
      <c r="G83">
        <v>320</v>
      </c>
      <c r="H83">
        <v>8</v>
      </c>
      <c r="I83">
        <v>1</v>
      </c>
      <c r="J83">
        <v>1.58</v>
      </c>
      <c r="K83">
        <v>44591</v>
      </c>
      <c r="L83" t="s">
        <v>717</v>
      </c>
      <c r="M83">
        <v>59</v>
      </c>
      <c r="N83" t="s">
        <v>2</v>
      </c>
      <c r="O83" t="s">
        <v>931</v>
      </c>
      <c r="P83" t="s">
        <v>352</v>
      </c>
      <c r="Q83">
        <v>51083</v>
      </c>
    </row>
    <row r="84" spans="1:17" x14ac:dyDescent="0.3">
      <c r="A84" t="s">
        <v>742</v>
      </c>
      <c r="B84" t="s">
        <v>743</v>
      </c>
      <c r="C84" t="s">
        <v>25</v>
      </c>
      <c r="D84" t="s">
        <v>30</v>
      </c>
      <c r="E84">
        <v>40</v>
      </c>
      <c r="F84" t="str">
        <f t="shared" si="2"/>
        <v>adult</v>
      </c>
      <c r="G84">
        <v>510</v>
      </c>
      <c r="H84">
        <v>4</v>
      </c>
      <c r="I84">
        <v>1</v>
      </c>
      <c r="J84">
        <v>1.68</v>
      </c>
      <c r="K84">
        <v>44941</v>
      </c>
      <c r="L84" t="s">
        <v>740</v>
      </c>
      <c r="M84">
        <v>65.8</v>
      </c>
      <c r="N84" t="s">
        <v>2</v>
      </c>
      <c r="O84">
        <v>403</v>
      </c>
      <c r="P84" t="s">
        <v>741</v>
      </c>
      <c r="Q84">
        <v>226482</v>
      </c>
    </row>
    <row r="85" spans="1:17" x14ac:dyDescent="0.3">
      <c r="A85" t="s">
        <v>796</v>
      </c>
      <c r="B85" t="s">
        <v>797</v>
      </c>
      <c r="C85" t="s">
        <v>25</v>
      </c>
      <c r="D85" t="s">
        <v>30</v>
      </c>
      <c r="E85">
        <v>45</v>
      </c>
      <c r="F85" t="str">
        <f t="shared" si="2"/>
        <v>adult</v>
      </c>
      <c r="G85">
        <v>340</v>
      </c>
      <c r="H85">
        <v>9</v>
      </c>
      <c r="I85">
        <v>1</v>
      </c>
      <c r="J85">
        <v>1.58</v>
      </c>
      <c r="K85">
        <v>44594</v>
      </c>
      <c r="L85" t="s">
        <v>259</v>
      </c>
      <c r="M85">
        <v>61.2</v>
      </c>
      <c r="N85" t="s">
        <v>2</v>
      </c>
      <c r="O85">
        <v>453</v>
      </c>
      <c r="P85" t="s">
        <v>795</v>
      </c>
      <c r="Q85">
        <v>50423</v>
      </c>
    </row>
    <row r="86" spans="1:17" x14ac:dyDescent="0.3">
      <c r="A86" t="s">
        <v>398</v>
      </c>
      <c r="B86" t="s">
        <v>399</v>
      </c>
      <c r="C86" t="s">
        <v>397</v>
      </c>
      <c r="D86" t="s">
        <v>400</v>
      </c>
      <c r="E86">
        <v>35</v>
      </c>
      <c r="F86" t="str">
        <f t="shared" si="2"/>
        <v>adult</v>
      </c>
      <c r="G86">
        <v>-5</v>
      </c>
      <c r="H86">
        <v>80</v>
      </c>
      <c r="I86">
        <v>1</v>
      </c>
      <c r="J86">
        <v>1.71</v>
      </c>
      <c r="K86" t="s">
        <v>930</v>
      </c>
      <c r="L86" t="s">
        <v>930</v>
      </c>
      <c r="M86">
        <v>69.900000000000006</v>
      </c>
      <c r="N86" t="s">
        <v>53</v>
      </c>
      <c r="O86">
        <v>165</v>
      </c>
      <c r="P86" t="s">
        <v>352</v>
      </c>
      <c r="Q86">
        <v>1119795</v>
      </c>
    </row>
    <row r="87" spans="1:17" x14ac:dyDescent="0.3">
      <c r="A87" t="s">
        <v>398</v>
      </c>
      <c r="B87" t="s">
        <v>586</v>
      </c>
      <c r="C87" t="s">
        <v>583</v>
      </c>
      <c r="D87" t="s">
        <v>587</v>
      </c>
      <c r="E87">
        <v>38</v>
      </c>
      <c r="F87" t="str">
        <f t="shared" si="2"/>
        <v>adult</v>
      </c>
      <c r="G87">
        <v>-27</v>
      </c>
      <c r="H87">
        <v>102</v>
      </c>
      <c r="I87">
        <v>1</v>
      </c>
      <c r="J87">
        <v>1.68</v>
      </c>
      <c r="K87">
        <v>44678</v>
      </c>
      <c r="L87" t="s">
        <v>584</v>
      </c>
      <c r="M87">
        <v>65.8</v>
      </c>
      <c r="N87" t="s">
        <v>53</v>
      </c>
      <c r="O87">
        <v>194</v>
      </c>
      <c r="P87" t="s">
        <v>585</v>
      </c>
      <c r="Q87">
        <v>106999</v>
      </c>
    </row>
    <row r="88" spans="1:17" x14ac:dyDescent="0.3">
      <c r="A88" t="s">
        <v>398</v>
      </c>
      <c r="B88" t="s">
        <v>839</v>
      </c>
      <c r="C88" t="s">
        <v>135</v>
      </c>
      <c r="D88" t="s">
        <v>139</v>
      </c>
      <c r="E88">
        <v>50</v>
      </c>
      <c r="F88" t="str">
        <f t="shared" si="2"/>
        <v>adult</v>
      </c>
      <c r="G88">
        <v>120</v>
      </c>
      <c r="H88">
        <v>10</v>
      </c>
      <c r="I88">
        <v>1</v>
      </c>
      <c r="J88">
        <v>1.74</v>
      </c>
      <c r="K88">
        <v>44756</v>
      </c>
      <c r="L88" t="s">
        <v>837</v>
      </c>
      <c r="M88">
        <v>64</v>
      </c>
      <c r="N88" t="s">
        <v>364</v>
      </c>
      <c r="O88">
        <v>510</v>
      </c>
      <c r="P88" t="s">
        <v>838</v>
      </c>
      <c r="Q88">
        <v>55291</v>
      </c>
    </row>
    <row r="89" spans="1:17" x14ac:dyDescent="0.3">
      <c r="A89" t="s">
        <v>730</v>
      </c>
      <c r="B89" t="s">
        <v>731</v>
      </c>
      <c r="C89" t="s">
        <v>25</v>
      </c>
      <c r="D89" t="s">
        <v>30</v>
      </c>
      <c r="E89">
        <v>41</v>
      </c>
      <c r="F89" t="str">
        <f t="shared" si="2"/>
        <v>adult</v>
      </c>
      <c r="G89">
        <v>700</v>
      </c>
      <c r="H89">
        <v>1</v>
      </c>
      <c r="I89">
        <v>1</v>
      </c>
      <c r="J89">
        <v>1.55</v>
      </c>
      <c r="K89">
        <v>44922</v>
      </c>
      <c r="L89" t="s">
        <v>728</v>
      </c>
      <c r="M89">
        <v>56.7</v>
      </c>
      <c r="N89" t="s">
        <v>2</v>
      </c>
      <c r="O89">
        <v>402</v>
      </c>
      <c r="P89" t="s">
        <v>729</v>
      </c>
      <c r="Q89">
        <v>259327</v>
      </c>
    </row>
    <row r="90" spans="1:17" x14ac:dyDescent="0.3">
      <c r="A90" t="s">
        <v>776</v>
      </c>
      <c r="B90" t="s">
        <v>777</v>
      </c>
      <c r="C90" t="s">
        <v>61</v>
      </c>
      <c r="D90" t="s">
        <v>66</v>
      </c>
      <c r="E90">
        <v>47</v>
      </c>
      <c r="F90" t="str">
        <f t="shared" si="2"/>
        <v>adult</v>
      </c>
      <c r="G90">
        <v>580</v>
      </c>
      <c r="H90">
        <v>3</v>
      </c>
      <c r="I90">
        <v>1</v>
      </c>
      <c r="J90">
        <v>1.55</v>
      </c>
      <c r="K90">
        <v>44864</v>
      </c>
      <c r="L90" t="s">
        <v>774</v>
      </c>
      <c r="M90">
        <v>66.2</v>
      </c>
      <c r="N90" t="s">
        <v>2</v>
      </c>
      <c r="O90">
        <v>451</v>
      </c>
      <c r="P90" t="s">
        <v>775</v>
      </c>
      <c r="Q90">
        <v>21214</v>
      </c>
    </row>
    <row r="91" spans="1:17" x14ac:dyDescent="0.3">
      <c r="A91" t="s">
        <v>722</v>
      </c>
      <c r="B91" t="s">
        <v>723</v>
      </c>
      <c r="C91" t="s">
        <v>25</v>
      </c>
      <c r="D91" t="s">
        <v>30</v>
      </c>
      <c r="E91">
        <v>35</v>
      </c>
      <c r="F91" t="str">
        <f t="shared" si="2"/>
        <v>adult</v>
      </c>
      <c r="G91">
        <v>290</v>
      </c>
      <c r="H91">
        <v>9</v>
      </c>
      <c r="I91">
        <v>1</v>
      </c>
      <c r="J91">
        <v>1.52</v>
      </c>
      <c r="K91">
        <v>44841</v>
      </c>
      <c r="L91" t="s">
        <v>720</v>
      </c>
      <c r="M91">
        <v>54.4</v>
      </c>
      <c r="N91" t="s">
        <v>2</v>
      </c>
      <c r="O91">
        <v>360</v>
      </c>
      <c r="P91" t="s">
        <v>721</v>
      </c>
      <c r="Q91">
        <v>26745</v>
      </c>
    </row>
    <row r="92" spans="1:17" x14ac:dyDescent="0.3">
      <c r="A92" t="s">
        <v>812</v>
      </c>
      <c r="B92" t="s">
        <v>813</v>
      </c>
      <c r="C92" t="s">
        <v>61</v>
      </c>
      <c r="D92" t="s">
        <v>66</v>
      </c>
      <c r="E92">
        <v>50</v>
      </c>
      <c r="F92" t="str">
        <f t="shared" si="2"/>
        <v>adult</v>
      </c>
      <c r="G92">
        <v>540</v>
      </c>
      <c r="H92">
        <v>3</v>
      </c>
      <c r="I92">
        <v>1</v>
      </c>
      <c r="J92">
        <v>1.71</v>
      </c>
      <c r="K92">
        <v>44876</v>
      </c>
      <c r="L92" t="s">
        <v>810</v>
      </c>
      <c r="M92">
        <v>65.8</v>
      </c>
      <c r="N92" t="s">
        <v>2</v>
      </c>
      <c r="O92">
        <v>503</v>
      </c>
      <c r="P92" t="s">
        <v>811</v>
      </c>
      <c r="Q92">
        <v>109033</v>
      </c>
    </row>
    <row r="93" spans="1:17" x14ac:dyDescent="0.3">
      <c r="A93" t="s">
        <v>865</v>
      </c>
      <c r="B93" t="s">
        <v>866</v>
      </c>
      <c r="C93" t="s">
        <v>0</v>
      </c>
      <c r="D93" t="s">
        <v>6</v>
      </c>
      <c r="E93">
        <v>56</v>
      </c>
      <c r="F93" t="str">
        <f t="shared" si="2"/>
        <v>adult</v>
      </c>
      <c r="G93">
        <v>320</v>
      </c>
      <c r="H93">
        <v>7</v>
      </c>
      <c r="I93">
        <v>1</v>
      </c>
      <c r="J93">
        <v>1.65</v>
      </c>
      <c r="K93">
        <v>44905</v>
      </c>
      <c r="L93" t="s">
        <v>863</v>
      </c>
      <c r="M93">
        <v>63</v>
      </c>
      <c r="N93" t="s">
        <v>2</v>
      </c>
      <c r="O93">
        <v>555</v>
      </c>
      <c r="P93" t="s">
        <v>864</v>
      </c>
      <c r="Q93">
        <v>261786</v>
      </c>
    </row>
    <row r="94" spans="1:17" x14ac:dyDescent="0.3">
      <c r="A94" t="s">
        <v>366</v>
      </c>
      <c r="B94" t="s">
        <v>367</v>
      </c>
      <c r="C94" t="s">
        <v>362</v>
      </c>
      <c r="D94" t="s">
        <v>368</v>
      </c>
      <c r="E94">
        <v>27</v>
      </c>
      <c r="F94" t="str">
        <f t="shared" si="2"/>
        <v>adult</v>
      </c>
      <c r="G94">
        <v>15</v>
      </c>
      <c r="H94">
        <v>74</v>
      </c>
      <c r="I94">
        <v>1</v>
      </c>
      <c r="J94">
        <v>1.77</v>
      </c>
      <c r="K94">
        <v>44679</v>
      </c>
      <c r="L94" t="s">
        <v>363</v>
      </c>
      <c r="M94">
        <v>68</v>
      </c>
      <c r="N94" t="s">
        <v>364</v>
      </c>
      <c r="O94">
        <v>133</v>
      </c>
      <c r="P94" t="s">
        <v>365</v>
      </c>
      <c r="Q94">
        <v>695821</v>
      </c>
    </row>
    <row r="95" spans="1:17" x14ac:dyDescent="0.3">
      <c r="A95" t="s">
        <v>366</v>
      </c>
      <c r="B95" t="s">
        <v>896</v>
      </c>
      <c r="C95" t="s">
        <v>25</v>
      </c>
      <c r="D95" t="s">
        <v>30</v>
      </c>
      <c r="E95">
        <v>62</v>
      </c>
      <c r="F95" t="str">
        <f t="shared" si="2"/>
        <v>adult</v>
      </c>
      <c r="G95">
        <v>380</v>
      </c>
      <c r="H95">
        <v>6</v>
      </c>
      <c r="I95">
        <v>1</v>
      </c>
      <c r="J95">
        <v>1.65</v>
      </c>
      <c r="K95">
        <v>44947</v>
      </c>
      <c r="L95" t="s">
        <v>894</v>
      </c>
      <c r="M95">
        <v>71.2</v>
      </c>
      <c r="N95" t="s">
        <v>2</v>
      </c>
      <c r="O95">
        <v>610</v>
      </c>
      <c r="P95" t="s">
        <v>895</v>
      </c>
      <c r="Q95">
        <v>198927</v>
      </c>
    </row>
    <row r="96" spans="1:17" x14ac:dyDescent="0.3">
      <c r="A96" t="s">
        <v>764</v>
      </c>
      <c r="B96" t="s">
        <v>765</v>
      </c>
      <c r="C96" t="s">
        <v>25</v>
      </c>
      <c r="D96" t="s">
        <v>30</v>
      </c>
      <c r="E96">
        <v>44</v>
      </c>
      <c r="F96" t="str">
        <f t="shared" si="2"/>
        <v>adult</v>
      </c>
      <c r="G96">
        <v>40</v>
      </c>
      <c r="H96">
        <v>10</v>
      </c>
      <c r="I96">
        <v>1</v>
      </c>
      <c r="J96">
        <v>1.71</v>
      </c>
      <c r="K96">
        <v>44897</v>
      </c>
      <c r="L96" t="s">
        <v>762</v>
      </c>
      <c r="M96">
        <v>66.7</v>
      </c>
      <c r="N96" t="s">
        <v>364</v>
      </c>
      <c r="O96">
        <v>406</v>
      </c>
      <c r="P96" t="s">
        <v>763</v>
      </c>
      <c r="Q96">
        <v>12348</v>
      </c>
    </row>
    <row r="97" spans="1:17" x14ac:dyDescent="0.3">
      <c r="A97" t="s">
        <v>109</v>
      </c>
      <c r="B97" t="s">
        <v>110</v>
      </c>
      <c r="C97" t="s">
        <v>106</v>
      </c>
      <c r="D97" t="s">
        <v>111</v>
      </c>
      <c r="E97">
        <v>24</v>
      </c>
      <c r="F97" t="str">
        <f t="shared" si="2"/>
        <v>adult</v>
      </c>
      <c r="G97">
        <v>254</v>
      </c>
      <c r="H97">
        <v>22</v>
      </c>
      <c r="I97">
        <v>1</v>
      </c>
      <c r="J97">
        <v>1.74</v>
      </c>
      <c r="K97">
        <v>44724</v>
      </c>
      <c r="L97" t="s">
        <v>107</v>
      </c>
      <c r="M97">
        <v>73</v>
      </c>
      <c r="N97" t="s">
        <v>53</v>
      </c>
      <c r="O97">
        <v>127</v>
      </c>
      <c r="P97" t="s">
        <v>108</v>
      </c>
      <c r="Q97">
        <v>698210</v>
      </c>
    </row>
    <row r="98" spans="1:17" x14ac:dyDescent="0.3">
      <c r="A98" t="s">
        <v>28</v>
      </c>
      <c r="B98" t="s">
        <v>29</v>
      </c>
      <c r="C98" t="s">
        <v>25</v>
      </c>
      <c r="D98" t="s">
        <v>30</v>
      </c>
      <c r="E98">
        <v>30</v>
      </c>
      <c r="F98" t="str">
        <f t="shared" ref="F98:F129" si="3">IF(E98&lt;18,"teen","adult")</f>
        <v>adult</v>
      </c>
      <c r="G98">
        <v>714</v>
      </c>
      <c r="H98">
        <v>5</v>
      </c>
      <c r="I98">
        <v>1</v>
      </c>
      <c r="J98">
        <v>1.62</v>
      </c>
      <c r="K98">
        <v>44589</v>
      </c>
      <c r="L98" t="s">
        <v>26</v>
      </c>
      <c r="M98">
        <v>63</v>
      </c>
      <c r="N98" t="s">
        <v>2</v>
      </c>
      <c r="O98">
        <v>103</v>
      </c>
      <c r="P98" t="s">
        <v>27</v>
      </c>
      <c r="Q98">
        <v>305891</v>
      </c>
    </row>
    <row r="99" spans="1:17" x14ac:dyDescent="0.3">
      <c r="A99" t="s">
        <v>280</v>
      </c>
      <c r="B99" t="s">
        <v>281</v>
      </c>
      <c r="C99" t="s">
        <v>0</v>
      </c>
      <c r="D99" t="s">
        <v>6</v>
      </c>
      <c r="E99">
        <v>27</v>
      </c>
      <c r="F99" t="str">
        <f t="shared" si="3"/>
        <v>adult</v>
      </c>
      <c r="G99">
        <v>36</v>
      </c>
      <c r="H99">
        <v>59</v>
      </c>
      <c r="I99">
        <v>1</v>
      </c>
      <c r="J99">
        <v>1.74</v>
      </c>
      <c r="K99">
        <v>44616</v>
      </c>
      <c r="L99" t="s">
        <v>278</v>
      </c>
      <c r="M99">
        <v>68</v>
      </c>
      <c r="N99" t="s">
        <v>53</v>
      </c>
      <c r="O99">
        <v>115</v>
      </c>
      <c r="P99" t="s">
        <v>279</v>
      </c>
      <c r="Q99">
        <v>120247</v>
      </c>
    </row>
    <row r="100" spans="1:17" x14ac:dyDescent="0.3">
      <c r="A100" t="s">
        <v>203</v>
      </c>
      <c r="B100" t="s">
        <v>204</v>
      </c>
      <c r="C100" t="s">
        <v>25</v>
      </c>
      <c r="D100" t="s">
        <v>30</v>
      </c>
      <c r="E100">
        <v>28</v>
      </c>
      <c r="F100" t="str">
        <f t="shared" si="3"/>
        <v>adult</v>
      </c>
      <c r="G100">
        <v>89</v>
      </c>
      <c r="H100">
        <v>44</v>
      </c>
      <c r="I100">
        <v>1</v>
      </c>
      <c r="J100">
        <v>1.62</v>
      </c>
      <c r="K100" t="s">
        <v>930</v>
      </c>
      <c r="L100" t="s">
        <v>930</v>
      </c>
      <c r="M100">
        <v>67.099999999999994</v>
      </c>
      <c r="N100" t="s">
        <v>53</v>
      </c>
      <c r="O100">
        <v>113</v>
      </c>
      <c r="P100" t="s">
        <v>202</v>
      </c>
      <c r="Q100">
        <v>238208</v>
      </c>
    </row>
    <row r="101" spans="1:17" x14ac:dyDescent="0.3">
      <c r="A101" t="s">
        <v>22</v>
      </c>
      <c r="B101" t="s">
        <v>23</v>
      </c>
      <c r="C101" t="s">
        <v>19</v>
      </c>
      <c r="D101" t="s">
        <v>24</v>
      </c>
      <c r="E101">
        <v>26</v>
      </c>
      <c r="F101" t="str">
        <f t="shared" si="3"/>
        <v>adult</v>
      </c>
      <c r="G101">
        <v>784</v>
      </c>
      <c r="H101">
        <v>4</v>
      </c>
      <c r="I101">
        <v>1</v>
      </c>
      <c r="J101">
        <v>1.74</v>
      </c>
      <c r="K101">
        <v>44608</v>
      </c>
      <c r="L101" t="s">
        <v>20</v>
      </c>
      <c r="M101">
        <v>68</v>
      </c>
      <c r="N101" t="s">
        <v>2</v>
      </c>
      <c r="O101">
        <v>15</v>
      </c>
      <c r="P101" t="s">
        <v>21</v>
      </c>
      <c r="Q101">
        <v>55121</v>
      </c>
    </row>
    <row r="102" spans="1:17" x14ac:dyDescent="0.3">
      <c r="A102" t="s">
        <v>734</v>
      </c>
      <c r="B102" t="s">
        <v>735</v>
      </c>
      <c r="C102" t="s">
        <v>87</v>
      </c>
      <c r="D102" t="s">
        <v>92</v>
      </c>
      <c r="E102">
        <v>41</v>
      </c>
      <c r="F102" t="str">
        <f t="shared" si="3"/>
        <v>adult</v>
      </c>
      <c r="G102">
        <v>610</v>
      </c>
      <c r="H102">
        <v>2</v>
      </c>
      <c r="I102">
        <v>1</v>
      </c>
      <c r="J102">
        <v>1.74</v>
      </c>
      <c r="K102">
        <v>44903</v>
      </c>
      <c r="L102" t="s">
        <v>732</v>
      </c>
      <c r="M102">
        <v>72.099999999999994</v>
      </c>
      <c r="N102" t="s">
        <v>2</v>
      </c>
      <c r="O102">
        <v>407</v>
      </c>
      <c r="P102" t="s">
        <v>733</v>
      </c>
      <c r="Q102">
        <v>107129</v>
      </c>
    </row>
    <row r="103" spans="1:17" x14ac:dyDescent="0.3">
      <c r="A103" t="s">
        <v>682</v>
      </c>
      <c r="B103" t="s">
        <v>683</v>
      </c>
      <c r="C103" t="s">
        <v>679</v>
      </c>
      <c r="D103" t="s">
        <v>684</v>
      </c>
      <c r="E103">
        <v>22</v>
      </c>
      <c r="F103" t="str">
        <f t="shared" si="3"/>
        <v>adult</v>
      </c>
      <c r="G103">
        <v>-42</v>
      </c>
      <c r="H103">
        <v>117</v>
      </c>
      <c r="I103">
        <v>1</v>
      </c>
      <c r="J103">
        <v>0.15</v>
      </c>
      <c r="K103">
        <v>44728</v>
      </c>
      <c r="L103" t="s">
        <v>680</v>
      </c>
      <c r="M103">
        <v>59</v>
      </c>
      <c r="N103" t="s">
        <v>53</v>
      </c>
      <c r="O103">
        <v>214</v>
      </c>
      <c r="P103" t="s">
        <v>681</v>
      </c>
      <c r="Q103">
        <v>661943</v>
      </c>
    </row>
    <row r="104" spans="1:17" x14ac:dyDescent="0.3">
      <c r="A104" t="s">
        <v>756</v>
      </c>
      <c r="B104" t="s">
        <v>757</v>
      </c>
      <c r="C104" t="s">
        <v>25</v>
      </c>
      <c r="D104" t="s">
        <v>30</v>
      </c>
      <c r="E104">
        <v>41</v>
      </c>
      <c r="F104" t="str">
        <f t="shared" si="3"/>
        <v>adult</v>
      </c>
      <c r="G104">
        <v>310</v>
      </c>
      <c r="H104">
        <v>8</v>
      </c>
      <c r="I104">
        <v>1</v>
      </c>
      <c r="J104">
        <v>1.68</v>
      </c>
      <c r="K104">
        <v>44867</v>
      </c>
      <c r="L104" t="s">
        <v>748</v>
      </c>
      <c r="M104">
        <v>70.3</v>
      </c>
      <c r="N104" t="s">
        <v>2</v>
      </c>
      <c r="O104">
        <v>409</v>
      </c>
      <c r="P104" t="s">
        <v>755</v>
      </c>
      <c r="Q104">
        <v>650145</v>
      </c>
    </row>
    <row r="105" spans="1:17" x14ac:dyDescent="0.3">
      <c r="A105" t="s">
        <v>496</v>
      </c>
      <c r="B105" t="s">
        <v>497</v>
      </c>
      <c r="C105" t="s">
        <v>493</v>
      </c>
      <c r="D105" t="s">
        <v>498</v>
      </c>
      <c r="E105">
        <v>37</v>
      </c>
      <c r="F105" t="str">
        <f t="shared" si="3"/>
        <v>adult</v>
      </c>
      <c r="G105">
        <v>-17</v>
      </c>
      <c r="H105">
        <v>92</v>
      </c>
      <c r="I105">
        <v>1</v>
      </c>
      <c r="J105">
        <v>1.74</v>
      </c>
      <c r="K105">
        <v>44624</v>
      </c>
      <c r="L105" t="s">
        <v>494</v>
      </c>
      <c r="M105">
        <v>59</v>
      </c>
      <c r="N105" t="s">
        <v>53</v>
      </c>
      <c r="O105">
        <v>190</v>
      </c>
      <c r="P105" t="s">
        <v>495</v>
      </c>
      <c r="Q105">
        <v>239902</v>
      </c>
    </row>
    <row r="106" spans="1:17" x14ac:dyDescent="0.3">
      <c r="A106" t="s">
        <v>642</v>
      </c>
      <c r="B106" t="s">
        <v>643</v>
      </c>
      <c r="C106" t="s">
        <v>640</v>
      </c>
      <c r="D106" t="s">
        <v>644</v>
      </c>
      <c r="E106">
        <v>27</v>
      </c>
      <c r="F106" t="str">
        <f t="shared" si="3"/>
        <v>adult</v>
      </c>
      <c r="G106">
        <v>-42</v>
      </c>
      <c r="H106">
        <v>117</v>
      </c>
      <c r="I106">
        <v>1</v>
      </c>
      <c r="J106">
        <v>1.77</v>
      </c>
      <c r="K106" t="s">
        <v>930</v>
      </c>
      <c r="L106" t="s">
        <v>930</v>
      </c>
      <c r="M106">
        <v>65.8</v>
      </c>
      <c r="N106" t="s">
        <v>53</v>
      </c>
      <c r="O106">
        <v>186</v>
      </c>
      <c r="P106" t="s">
        <v>641</v>
      </c>
      <c r="Q106">
        <v>683201</v>
      </c>
    </row>
    <row r="107" spans="1:17" x14ac:dyDescent="0.3">
      <c r="A107" t="s">
        <v>342</v>
      </c>
      <c r="B107" t="s">
        <v>343</v>
      </c>
      <c r="C107" t="s">
        <v>339</v>
      </c>
      <c r="D107" t="s">
        <v>344</v>
      </c>
      <c r="E107">
        <v>26</v>
      </c>
      <c r="F107" t="str">
        <f t="shared" si="3"/>
        <v>adult</v>
      </c>
      <c r="G107">
        <v>18</v>
      </c>
      <c r="H107">
        <v>70</v>
      </c>
      <c r="I107">
        <v>1</v>
      </c>
      <c r="J107">
        <v>1.65</v>
      </c>
      <c r="K107">
        <v>44742</v>
      </c>
      <c r="L107" t="s">
        <v>340</v>
      </c>
      <c r="M107">
        <v>66.7</v>
      </c>
      <c r="N107" t="s">
        <v>53</v>
      </c>
      <c r="O107">
        <v>157</v>
      </c>
      <c r="P107" t="s">
        <v>341</v>
      </c>
      <c r="Q107">
        <v>477570</v>
      </c>
    </row>
    <row r="108" spans="1:17" x14ac:dyDescent="0.3">
      <c r="A108" t="s">
        <v>10</v>
      </c>
      <c r="B108" t="s">
        <v>11</v>
      </c>
      <c r="C108" t="s">
        <v>7</v>
      </c>
      <c r="D108" t="s">
        <v>12</v>
      </c>
      <c r="E108">
        <v>33</v>
      </c>
      <c r="F108" t="str">
        <f t="shared" si="3"/>
        <v>adult</v>
      </c>
      <c r="G108">
        <v>876</v>
      </c>
      <c r="H108">
        <v>2</v>
      </c>
      <c r="I108">
        <v>1</v>
      </c>
      <c r="J108">
        <v>1.65</v>
      </c>
      <c r="K108">
        <v>44731</v>
      </c>
      <c r="L108" t="s">
        <v>8</v>
      </c>
      <c r="M108">
        <v>59</v>
      </c>
      <c r="N108" t="s">
        <v>2</v>
      </c>
      <c r="O108">
        <v>122</v>
      </c>
      <c r="P108" t="s">
        <v>9</v>
      </c>
      <c r="Q108">
        <v>120480</v>
      </c>
    </row>
    <row r="109" spans="1:17" x14ac:dyDescent="0.3">
      <c r="A109" t="s">
        <v>199</v>
      </c>
      <c r="B109" t="s">
        <v>200</v>
      </c>
      <c r="C109" t="s">
        <v>196</v>
      </c>
      <c r="D109" t="s">
        <v>201</v>
      </c>
      <c r="E109">
        <v>30</v>
      </c>
      <c r="F109" t="str">
        <f t="shared" si="3"/>
        <v>adult</v>
      </c>
      <c r="G109">
        <v>90</v>
      </c>
      <c r="H109">
        <v>43</v>
      </c>
      <c r="I109">
        <v>1</v>
      </c>
      <c r="J109">
        <v>1.55</v>
      </c>
      <c r="K109">
        <v>44690</v>
      </c>
      <c r="L109" t="s">
        <v>197</v>
      </c>
      <c r="M109">
        <v>68.900000000000006</v>
      </c>
      <c r="N109" t="s">
        <v>53</v>
      </c>
      <c r="O109">
        <v>185</v>
      </c>
      <c r="P109" t="s">
        <v>198</v>
      </c>
      <c r="Q109">
        <v>667707</v>
      </c>
    </row>
    <row r="110" spans="1:17" x14ac:dyDescent="0.3">
      <c r="A110" t="s">
        <v>528</v>
      </c>
      <c r="B110" t="s">
        <v>529</v>
      </c>
      <c r="C110" t="s">
        <v>525</v>
      </c>
      <c r="D110" t="s">
        <v>530</v>
      </c>
      <c r="E110">
        <v>30</v>
      </c>
      <c r="F110" t="str">
        <f t="shared" si="3"/>
        <v>adult</v>
      </c>
      <c r="G110">
        <v>-27</v>
      </c>
      <c r="H110">
        <v>102</v>
      </c>
      <c r="I110">
        <v>1</v>
      </c>
      <c r="J110">
        <v>1.62</v>
      </c>
      <c r="K110">
        <v>44712</v>
      </c>
      <c r="L110" t="s">
        <v>526</v>
      </c>
      <c r="M110">
        <v>59.9</v>
      </c>
      <c r="N110" t="s">
        <v>53</v>
      </c>
      <c r="O110">
        <v>187</v>
      </c>
      <c r="P110" t="s">
        <v>527</v>
      </c>
      <c r="Q110">
        <v>444527</v>
      </c>
    </row>
    <row r="111" spans="1:17" x14ac:dyDescent="0.3">
      <c r="A111" t="s">
        <v>462</v>
      </c>
      <c r="B111" t="s">
        <v>463</v>
      </c>
      <c r="C111" t="s">
        <v>460</v>
      </c>
      <c r="D111" t="s">
        <v>464</v>
      </c>
      <c r="E111">
        <v>31</v>
      </c>
      <c r="F111" t="str">
        <f t="shared" si="3"/>
        <v>adult</v>
      </c>
      <c r="G111">
        <v>-16</v>
      </c>
      <c r="H111">
        <v>91</v>
      </c>
      <c r="I111">
        <v>1</v>
      </c>
      <c r="J111">
        <v>1.71</v>
      </c>
      <c r="K111">
        <v>44640</v>
      </c>
      <c r="L111" t="s">
        <v>68</v>
      </c>
      <c r="M111">
        <v>70.3</v>
      </c>
      <c r="N111" t="s">
        <v>53</v>
      </c>
      <c r="O111">
        <v>173</v>
      </c>
      <c r="P111" t="s">
        <v>461</v>
      </c>
      <c r="Q111">
        <v>106380</v>
      </c>
    </row>
    <row r="112" spans="1:17" x14ac:dyDescent="0.3">
      <c r="A112" t="s">
        <v>76</v>
      </c>
      <c r="B112" t="s">
        <v>77</v>
      </c>
      <c r="C112" t="s">
        <v>73</v>
      </c>
      <c r="D112" t="s">
        <v>78</v>
      </c>
      <c r="E112">
        <v>22</v>
      </c>
      <c r="F112" t="str">
        <f t="shared" si="3"/>
        <v>adult</v>
      </c>
      <c r="G112">
        <v>356</v>
      </c>
      <c r="H112">
        <v>15</v>
      </c>
      <c r="I112">
        <v>1</v>
      </c>
      <c r="J112">
        <v>1.74</v>
      </c>
      <c r="K112">
        <v>44659</v>
      </c>
      <c r="L112" t="s">
        <v>74</v>
      </c>
      <c r="M112">
        <v>68.900000000000006</v>
      </c>
      <c r="N112" t="s">
        <v>53</v>
      </c>
      <c r="O112">
        <v>152</v>
      </c>
      <c r="P112" t="s">
        <v>75</v>
      </c>
      <c r="Q112">
        <v>591912</v>
      </c>
    </row>
    <row r="113" spans="1:17" x14ac:dyDescent="0.3">
      <c r="A113" t="s">
        <v>76</v>
      </c>
      <c r="B113" t="s">
        <v>638</v>
      </c>
      <c r="C113" t="s">
        <v>635</v>
      </c>
      <c r="D113" t="s">
        <v>639</v>
      </c>
      <c r="E113">
        <v>25</v>
      </c>
      <c r="F113" t="str">
        <f t="shared" si="3"/>
        <v>adult</v>
      </c>
      <c r="G113">
        <v>-42</v>
      </c>
      <c r="H113">
        <v>117</v>
      </c>
      <c r="I113">
        <v>1</v>
      </c>
      <c r="J113">
        <v>1.74</v>
      </c>
      <c r="K113">
        <v>44612</v>
      </c>
      <c r="L113" t="s">
        <v>636</v>
      </c>
      <c r="M113">
        <v>72.099999999999994</v>
      </c>
      <c r="N113" t="s">
        <v>53</v>
      </c>
      <c r="O113">
        <v>145</v>
      </c>
      <c r="P113" t="s">
        <v>637</v>
      </c>
      <c r="Q113">
        <v>277184</v>
      </c>
    </row>
    <row r="114" spans="1:17" x14ac:dyDescent="0.3">
      <c r="A114" t="s">
        <v>842</v>
      </c>
      <c r="B114" t="s">
        <v>843</v>
      </c>
      <c r="C114" t="s">
        <v>61</v>
      </c>
      <c r="D114" t="s">
        <v>66</v>
      </c>
      <c r="E114">
        <v>55</v>
      </c>
      <c r="F114" t="str">
        <f t="shared" si="3"/>
        <v>adult</v>
      </c>
      <c r="G114">
        <v>640</v>
      </c>
      <c r="H114">
        <v>1</v>
      </c>
      <c r="I114">
        <v>1</v>
      </c>
      <c r="J114">
        <v>1.68</v>
      </c>
      <c r="K114">
        <v>44924</v>
      </c>
      <c r="L114" t="s">
        <v>840</v>
      </c>
      <c r="M114">
        <v>63.5</v>
      </c>
      <c r="N114" t="s">
        <v>2</v>
      </c>
      <c r="O114">
        <v>551</v>
      </c>
      <c r="P114" t="s">
        <v>841</v>
      </c>
      <c r="Q114">
        <v>13983</v>
      </c>
    </row>
    <row r="115" spans="1:17" x14ac:dyDescent="0.3">
      <c r="A115" t="s">
        <v>208</v>
      </c>
      <c r="B115" t="s">
        <v>209</v>
      </c>
      <c r="C115" t="s">
        <v>205</v>
      </c>
      <c r="D115" t="s">
        <v>210</v>
      </c>
      <c r="E115">
        <v>25</v>
      </c>
      <c r="F115" t="str">
        <f t="shared" si="3"/>
        <v>adult</v>
      </c>
      <c r="G115">
        <v>86</v>
      </c>
      <c r="H115">
        <v>45</v>
      </c>
      <c r="I115">
        <v>1</v>
      </c>
      <c r="J115">
        <v>1.74</v>
      </c>
      <c r="K115">
        <v>44671</v>
      </c>
      <c r="L115" t="s">
        <v>206</v>
      </c>
      <c r="M115">
        <v>71.2</v>
      </c>
      <c r="N115" t="s">
        <v>53</v>
      </c>
      <c r="O115">
        <v>143</v>
      </c>
      <c r="P115" t="s">
        <v>207</v>
      </c>
      <c r="Q115">
        <v>248235</v>
      </c>
    </row>
    <row r="116" spans="1:17" x14ac:dyDescent="0.3">
      <c r="A116" t="s">
        <v>846</v>
      </c>
      <c r="B116" t="s">
        <v>847</v>
      </c>
      <c r="C116" t="s">
        <v>25</v>
      </c>
      <c r="D116" t="s">
        <v>30</v>
      </c>
      <c r="E116">
        <v>55</v>
      </c>
      <c r="F116" t="str">
        <f t="shared" si="3"/>
        <v>adult</v>
      </c>
      <c r="G116">
        <v>550</v>
      </c>
      <c r="H116">
        <v>2</v>
      </c>
      <c r="I116">
        <v>1</v>
      </c>
      <c r="J116">
        <v>1.71</v>
      </c>
      <c r="K116">
        <v>44817</v>
      </c>
      <c r="L116" t="s">
        <v>844</v>
      </c>
      <c r="M116">
        <v>64.900000000000006</v>
      </c>
      <c r="N116" t="s">
        <v>2</v>
      </c>
      <c r="O116">
        <v>554</v>
      </c>
      <c r="P116" t="s">
        <v>845</v>
      </c>
      <c r="Q116">
        <v>19241</v>
      </c>
    </row>
    <row r="117" spans="1:17" x14ac:dyDescent="0.3">
      <c r="A117" t="s">
        <v>162</v>
      </c>
      <c r="B117" t="s">
        <v>163</v>
      </c>
      <c r="C117" t="s">
        <v>25</v>
      </c>
      <c r="D117" t="s">
        <v>30</v>
      </c>
      <c r="E117">
        <v>34</v>
      </c>
      <c r="F117" t="str">
        <f t="shared" si="3"/>
        <v>adult</v>
      </c>
      <c r="G117">
        <v>152</v>
      </c>
      <c r="H117">
        <v>35</v>
      </c>
      <c r="I117">
        <v>1</v>
      </c>
      <c r="J117">
        <v>1.77</v>
      </c>
      <c r="K117">
        <v>44958</v>
      </c>
      <c r="L117" t="s">
        <v>160</v>
      </c>
      <c r="M117">
        <v>69.900000000000006</v>
      </c>
      <c r="N117" t="s">
        <v>53</v>
      </c>
      <c r="O117">
        <v>311</v>
      </c>
      <c r="P117" t="s">
        <v>161</v>
      </c>
      <c r="Q117">
        <v>43198</v>
      </c>
    </row>
    <row r="118" spans="1:17" x14ac:dyDescent="0.3">
      <c r="A118" t="s">
        <v>240</v>
      </c>
      <c r="B118" t="s">
        <v>241</v>
      </c>
      <c r="C118" t="s">
        <v>237</v>
      </c>
      <c r="D118" t="s">
        <v>242</v>
      </c>
      <c r="E118">
        <v>28</v>
      </c>
      <c r="F118" t="str">
        <f t="shared" si="3"/>
        <v>adult</v>
      </c>
      <c r="G118">
        <v>54</v>
      </c>
      <c r="H118">
        <v>51</v>
      </c>
      <c r="I118">
        <v>1</v>
      </c>
      <c r="J118">
        <v>1.62</v>
      </c>
      <c r="K118">
        <v>44648</v>
      </c>
      <c r="L118" t="s">
        <v>238</v>
      </c>
      <c r="M118">
        <v>65.8</v>
      </c>
      <c r="N118" t="s">
        <v>53</v>
      </c>
      <c r="O118">
        <v>149</v>
      </c>
      <c r="P118" t="s">
        <v>239</v>
      </c>
      <c r="Q118">
        <v>527011</v>
      </c>
    </row>
    <row r="119" spans="1:17" x14ac:dyDescent="0.3">
      <c r="A119" t="s">
        <v>468</v>
      </c>
      <c r="B119" t="s">
        <v>469</v>
      </c>
      <c r="C119" t="s">
        <v>465</v>
      </c>
      <c r="D119" t="s">
        <v>470</v>
      </c>
      <c r="E119">
        <v>20</v>
      </c>
      <c r="F119" t="str">
        <f t="shared" si="3"/>
        <v>adult</v>
      </c>
      <c r="G119">
        <v>-17</v>
      </c>
      <c r="H119">
        <v>92</v>
      </c>
      <c r="I119">
        <v>1</v>
      </c>
      <c r="J119">
        <v>0.03</v>
      </c>
      <c r="K119">
        <v>44633</v>
      </c>
      <c r="L119" t="s">
        <v>466</v>
      </c>
      <c r="M119">
        <v>58.1</v>
      </c>
      <c r="N119" t="s">
        <v>53</v>
      </c>
      <c r="O119">
        <v>179</v>
      </c>
      <c r="P119" t="s">
        <v>467</v>
      </c>
      <c r="Q119">
        <v>1237131</v>
      </c>
    </row>
    <row r="120" spans="1:17" x14ac:dyDescent="0.3">
      <c r="A120" t="s">
        <v>318</v>
      </c>
      <c r="B120" t="s">
        <v>319</v>
      </c>
      <c r="C120" t="s">
        <v>315</v>
      </c>
      <c r="D120" t="s">
        <v>320</v>
      </c>
      <c r="E120">
        <v>29</v>
      </c>
      <c r="F120" t="str">
        <f t="shared" si="3"/>
        <v>adult</v>
      </c>
      <c r="G120">
        <v>27</v>
      </c>
      <c r="H120">
        <v>66</v>
      </c>
      <c r="I120">
        <v>1</v>
      </c>
      <c r="J120">
        <v>1.74</v>
      </c>
      <c r="K120">
        <v>44620</v>
      </c>
      <c r="L120" t="s">
        <v>316</v>
      </c>
      <c r="M120">
        <v>58.1</v>
      </c>
      <c r="N120" t="s">
        <v>53</v>
      </c>
      <c r="O120">
        <v>200</v>
      </c>
      <c r="P120" t="s">
        <v>317</v>
      </c>
      <c r="Q120">
        <v>244718</v>
      </c>
    </row>
    <row r="121" spans="1:17" x14ac:dyDescent="0.3">
      <c r="A121" t="s">
        <v>861</v>
      </c>
      <c r="B121" t="s">
        <v>862</v>
      </c>
      <c r="C121" t="s">
        <v>0</v>
      </c>
      <c r="D121" t="s">
        <v>6</v>
      </c>
      <c r="E121">
        <v>59</v>
      </c>
      <c r="F121" t="str">
        <f t="shared" si="3"/>
        <v>adult</v>
      </c>
      <c r="G121">
        <v>380</v>
      </c>
      <c r="H121">
        <v>6</v>
      </c>
      <c r="I121">
        <v>1</v>
      </c>
      <c r="J121">
        <v>1.58</v>
      </c>
      <c r="K121">
        <v>44888</v>
      </c>
      <c r="L121" t="s">
        <v>705</v>
      </c>
      <c r="M121">
        <v>56.7</v>
      </c>
      <c r="N121" t="s">
        <v>2</v>
      </c>
      <c r="O121">
        <v>560</v>
      </c>
      <c r="P121" t="s">
        <v>860</v>
      </c>
      <c r="Q121">
        <v>24334</v>
      </c>
    </row>
    <row r="122" spans="1:17" x14ac:dyDescent="0.3">
      <c r="A122" t="s">
        <v>114</v>
      </c>
      <c r="B122" t="s">
        <v>115</v>
      </c>
      <c r="C122" t="s">
        <v>0</v>
      </c>
      <c r="D122" t="s">
        <v>6</v>
      </c>
      <c r="E122">
        <v>22</v>
      </c>
      <c r="F122" t="str">
        <f t="shared" si="3"/>
        <v>adult</v>
      </c>
      <c r="G122">
        <v>244</v>
      </c>
      <c r="H122">
        <v>23</v>
      </c>
      <c r="I122">
        <v>1</v>
      </c>
      <c r="J122">
        <v>1.58</v>
      </c>
      <c r="K122">
        <v>44785</v>
      </c>
      <c r="L122" t="s">
        <v>112</v>
      </c>
      <c r="M122">
        <v>62.1</v>
      </c>
      <c r="N122" t="s">
        <v>53</v>
      </c>
      <c r="O122">
        <v>303</v>
      </c>
      <c r="P122" t="s">
        <v>113</v>
      </c>
      <c r="Q122">
        <v>21556</v>
      </c>
    </row>
    <row r="123" spans="1:17" x14ac:dyDescent="0.3">
      <c r="A123" t="s">
        <v>296</v>
      </c>
      <c r="B123" t="s">
        <v>297</v>
      </c>
      <c r="C123" t="s">
        <v>293</v>
      </c>
      <c r="D123" t="s">
        <v>298</v>
      </c>
      <c r="E123">
        <v>23</v>
      </c>
      <c r="F123" t="str">
        <f t="shared" si="3"/>
        <v>adult</v>
      </c>
      <c r="G123">
        <v>34</v>
      </c>
      <c r="H123">
        <v>62</v>
      </c>
      <c r="I123">
        <v>1</v>
      </c>
      <c r="J123">
        <v>1.55</v>
      </c>
      <c r="K123">
        <v>44642</v>
      </c>
      <c r="L123" t="s">
        <v>294</v>
      </c>
      <c r="M123">
        <v>59</v>
      </c>
      <c r="N123" t="s">
        <v>53</v>
      </c>
      <c r="O123">
        <v>159</v>
      </c>
      <c r="P123" t="s">
        <v>295</v>
      </c>
      <c r="Q123">
        <v>1299203</v>
      </c>
    </row>
    <row r="124" spans="1:17" x14ac:dyDescent="0.3">
      <c r="A124" t="s">
        <v>457</v>
      </c>
      <c r="B124" t="s">
        <v>458</v>
      </c>
      <c r="C124" t="s">
        <v>454</v>
      </c>
      <c r="D124" t="s">
        <v>459</v>
      </c>
      <c r="E124">
        <v>26</v>
      </c>
      <c r="F124" t="str">
        <f t="shared" si="3"/>
        <v>adult</v>
      </c>
      <c r="G124">
        <v>-15</v>
      </c>
      <c r="H124">
        <v>90</v>
      </c>
      <c r="I124">
        <v>1</v>
      </c>
      <c r="J124">
        <v>1.65</v>
      </c>
      <c r="K124">
        <v>44729</v>
      </c>
      <c r="L124" t="s">
        <v>455</v>
      </c>
      <c r="M124">
        <v>56.7</v>
      </c>
      <c r="N124" t="s">
        <v>53</v>
      </c>
      <c r="O124">
        <v>212</v>
      </c>
      <c r="P124" t="s">
        <v>456</v>
      </c>
      <c r="Q124">
        <v>661734</v>
      </c>
    </row>
    <row r="125" spans="1:17" x14ac:dyDescent="0.3">
      <c r="A125" t="s">
        <v>632</v>
      </c>
      <c r="B125" t="s">
        <v>633</v>
      </c>
      <c r="C125" t="s">
        <v>629</v>
      </c>
      <c r="D125" t="s">
        <v>634</v>
      </c>
      <c r="E125">
        <v>37</v>
      </c>
      <c r="F125" t="str">
        <f t="shared" si="3"/>
        <v>adult</v>
      </c>
      <c r="G125">
        <v>-42</v>
      </c>
      <c r="H125">
        <v>117</v>
      </c>
      <c r="I125">
        <v>1</v>
      </c>
      <c r="J125">
        <v>0.15</v>
      </c>
      <c r="K125">
        <v>44634</v>
      </c>
      <c r="L125" t="s">
        <v>630</v>
      </c>
      <c r="M125">
        <v>73</v>
      </c>
      <c r="N125" t="s">
        <v>53</v>
      </c>
      <c r="O125">
        <v>203</v>
      </c>
      <c r="P125" t="s">
        <v>631</v>
      </c>
      <c r="Q125">
        <v>488881</v>
      </c>
    </row>
    <row r="126" spans="1:17" x14ac:dyDescent="0.3">
      <c r="A126" t="s">
        <v>820</v>
      </c>
      <c r="B126" t="s">
        <v>821</v>
      </c>
      <c r="C126" t="s">
        <v>262</v>
      </c>
      <c r="D126" t="s">
        <v>267</v>
      </c>
      <c r="E126">
        <v>51</v>
      </c>
      <c r="F126" t="str">
        <f t="shared" si="3"/>
        <v>adult</v>
      </c>
      <c r="G126">
        <v>490</v>
      </c>
      <c r="H126">
        <v>5</v>
      </c>
      <c r="I126">
        <v>1</v>
      </c>
      <c r="J126">
        <v>1.62</v>
      </c>
      <c r="K126">
        <v>44863</v>
      </c>
      <c r="L126" t="s">
        <v>818</v>
      </c>
      <c r="M126">
        <v>59.9</v>
      </c>
      <c r="N126" t="s">
        <v>2</v>
      </c>
      <c r="O126">
        <v>507</v>
      </c>
      <c r="P126" t="s">
        <v>819</v>
      </c>
      <c r="Q126">
        <v>729204</v>
      </c>
    </row>
    <row r="127" spans="1:17" x14ac:dyDescent="0.3">
      <c r="A127" t="s">
        <v>850</v>
      </c>
      <c r="B127" t="s">
        <v>851</v>
      </c>
      <c r="C127" t="s">
        <v>205</v>
      </c>
      <c r="D127" t="s">
        <v>210</v>
      </c>
      <c r="E127">
        <v>55</v>
      </c>
      <c r="F127" t="str">
        <f t="shared" si="3"/>
        <v>adult</v>
      </c>
      <c r="G127">
        <v>460</v>
      </c>
      <c r="H127">
        <v>3</v>
      </c>
      <c r="I127">
        <v>1</v>
      </c>
      <c r="J127">
        <v>1.65</v>
      </c>
      <c r="K127">
        <v>44893</v>
      </c>
      <c r="L127" t="s">
        <v>848</v>
      </c>
      <c r="M127">
        <v>65.3</v>
      </c>
      <c r="N127" t="s">
        <v>2</v>
      </c>
      <c r="O127">
        <v>552</v>
      </c>
      <c r="P127" t="s">
        <v>849</v>
      </c>
      <c r="Q127">
        <v>27530</v>
      </c>
    </row>
    <row r="128" spans="1:17" x14ac:dyDescent="0.3">
      <c r="A128" t="s">
        <v>376</v>
      </c>
      <c r="B128" t="s">
        <v>377</v>
      </c>
      <c r="C128" t="s">
        <v>373</v>
      </c>
      <c r="D128" t="s">
        <v>378</v>
      </c>
      <c r="E128">
        <v>35</v>
      </c>
      <c r="F128" t="str">
        <f t="shared" si="3"/>
        <v>adult</v>
      </c>
      <c r="G128">
        <v>-1</v>
      </c>
      <c r="H128">
        <v>76</v>
      </c>
      <c r="I128">
        <v>1</v>
      </c>
      <c r="J128">
        <v>1.52</v>
      </c>
      <c r="K128">
        <v>44764</v>
      </c>
      <c r="L128" t="s">
        <v>374</v>
      </c>
      <c r="M128">
        <v>57.2</v>
      </c>
      <c r="N128" t="s">
        <v>53</v>
      </c>
      <c r="O128">
        <v>172</v>
      </c>
      <c r="P128" t="s">
        <v>375</v>
      </c>
      <c r="Q128">
        <v>517771</v>
      </c>
    </row>
    <row r="129" spans="1:17" x14ac:dyDescent="0.3">
      <c r="A129" t="s">
        <v>479</v>
      </c>
      <c r="B129" t="s">
        <v>480</v>
      </c>
      <c r="C129" t="s">
        <v>476</v>
      </c>
      <c r="D129" t="s">
        <v>481</v>
      </c>
      <c r="E129">
        <v>32</v>
      </c>
      <c r="F129" t="str">
        <f t="shared" si="3"/>
        <v>adult</v>
      </c>
      <c r="G129">
        <v>-17</v>
      </c>
      <c r="H129">
        <v>92</v>
      </c>
      <c r="I129">
        <v>1</v>
      </c>
      <c r="J129">
        <v>1.65</v>
      </c>
      <c r="K129">
        <v>44748</v>
      </c>
      <c r="L129" t="s">
        <v>477</v>
      </c>
      <c r="M129">
        <v>58.1</v>
      </c>
      <c r="N129" t="s">
        <v>53</v>
      </c>
      <c r="O129">
        <v>155</v>
      </c>
      <c r="P129" t="s">
        <v>478</v>
      </c>
      <c r="Q129">
        <v>737357</v>
      </c>
    </row>
    <row r="130" spans="1:17" x14ac:dyDescent="0.3">
      <c r="A130" t="s">
        <v>877</v>
      </c>
      <c r="B130" t="s">
        <v>878</v>
      </c>
      <c r="C130" t="s">
        <v>25</v>
      </c>
      <c r="D130" t="s">
        <v>30</v>
      </c>
      <c r="E130">
        <v>58</v>
      </c>
      <c r="F130" t="str">
        <f t="shared" ref="F130:F161" si="4">IF(E130&lt;18,"teen","adult")</f>
        <v>adult</v>
      </c>
      <c r="G130">
        <v>240</v>
      </c>
      <c r="H130">
        <v>10</v>
      </c>
      <c r="I130">
        <v>1</v>
      </c>
      <c r="J130">
        <v>1.58</v>
      </c>
      <c r="K130">
        <v>44895</v>
      </c>
      <c r="L130" t="s">
        <v>875</v>
      </c>
      <c r="M130">
        <v>59</v>
      </c>
      <c r="N130" t="s">
        <v>364</v>
      </c>
      <c r="O130">
        <v>557</v>
      </c>
      <c r="P130" t="s">
        <v>876</v>
      </c>
      <c r="Q130">
        <v>1900</v>
      </c>
    </row>
    <row r="131" spans="1:17" x14ac:dyDescent="0.3">
      <c r="A131" t="s">
        <v>235</v>
      </c>
      <c r="B131" t="s">
        <v>236</v>
      </c>
      <c r="C131" t="s">
        <v>25</v>
      </c>
      <c r="D131" t="s">
        <v>30</v>
      </c>
      <c r="E131">
        <v>27</v>
      </c>
      <c r="F131" t="str">
        <f t="shared" si="4"/>
        <v>adult</v>
      </c>
      <c r="G131">
        <v>69</v>
      </c>
      <c r="H131">
        <v>50</v>
      </c>
      <c r="I131">
        <v>1</v>
      </c>
      <c r="J131">
        <v>1.68</v>
      </c>
      <c r="K131">
        <v>44604</v>
      </c>
      <c r="L131" t="s">
        <v>233</v>
      </c>
      <c r="M131">
        <v>66.7</v>
      </c>
      <c r="N131" t="s">
        <v>53</v>
      </c>
      <c r="O131">
        <v>109</v>
      </c>
      <c r="P131" t="s">
        <v>234</v>
      </c>
      <c r="Q131">
        <v>871307</v>
      </c>
    </row>
    <row r="132" spans="1:17" x14ac:dyDescent="0.3">
      <c r="A132" t="s">
        <v>118</v>
      </c>
      <c r="B132" t="s">
        <v>119</v>
      </c>
      <c r="C132" t="s">
        <v>25</v>
      </c>
      <c r="D132" t="s">
        <v>30</v>
      </c>
      <c r="E132">
        <v>27</v>
      </c>
      <c r="F132" t="str">
        <f t="shared" si="4"/>
        <v>adult</v>
      </c>
      <c r="G132">
        <v>243</v>
      </c>
      <c r="H132">
        <v>24</v>
      </c>
      <c r="I132">
        <v>1</v>
      </c>
      <c r="J132">
        <v>1.71</v>
      </c>
      <c r="K132">
        <v>44956</v>
      </c>
      <c r="L132" t="s">
        <v>116</v>
      </c>
      <c r="M132">
        <v>68</v>
      </c>
      <c r="N132" t="s">
        <v>53</v>
      </c>
      <c r="O132">
        <v>306</v>
      </c>
      <c r="P132" t="s">
        <v>117</v>
      </c>
      <c r="Q132">
        <v>115892</v>
      </c>
    </row>
    <row r="133" spans="1:17" x14ac:dyDescent="0.3">
      <c r="A133" t="s">
        <v>126</v>
      </c>
      <c r="B133" t="s">
        <v>127</v>
      </c>
      <c r="C133" t="s">
        <v>25</v>
      </c>
      <c r="D133" t="s">
        <v>30</v>
      </c>
      <c r="E133">
        <v>31</v>
      </c>
      <c r="F133" t="str">
        <f t="shared" si="4"/>
        <v>adult</v>
      </c>
      <c r="G133">
        <v>228</v>
      </c>
      <c r="H133">
        <v>26</v>
      </c>
      <c r="I133">
        <v>1</v>
      </c>
      <c r="J133">
        <v>1.65</v>
      </c>
      <c r="K133">
        <v>44607</v>
      </c>
      <c r="L133" t="s">
        <v>124</v>
      </c>
      <c r="M133">
        <v>70.3</v>
      </c>
      <c r="N133" t="s">
        <v>53</v>
      </c>
      <c r="O133">
        <v>105</v>
      </c>
      <c r="P133" t="s">
        <v>125</v>
      </c>
      <c r="Q133">
        <v>93497</v>
      </c>
    </row>
    <row r="134" spans="1:17" x14ac:dyDescent="0.3">
      <c r="A134" t="s">
        <v>687</v>
      </c>
      <c r="B134" t="s">
        <v>688</v>
      </c>
      <c r="C134" t="s">
        <v>685</v>
      </c>
      <c r="D134" t="s">
        <v>689</v>
      </c>
      <c r="E134">
        <v>33</v>
      </c>
      <c r="F134" t="str">
        <f t="shared" si="4"/>
        <v>adult</v>
      </c>
      <c r="G134">
        <v>-42</v>
      </c>
      <c r="H134">
        <v>117</v>
      </c>
      <c r="I134">
        <v>1</v>
      </c>
      <c r="J134">
        <v>1.68</v>
      </c>
      <c r="K134">
        <v>44635</v>
      </c>
      <c r="L134" t="s">
        <v>686</v>
      </c>
      <c r="M134">
        <v>77.099999999999994</v>
      </c>
      <c r="N134" t="s">
        <v>53</v>
      </c>
      <c r="O134">
        <v>218</v>
      </c>
      <c r="P134" t="s">
        <v>352</v>
      </c>
      <c r="Q134">
        <v>889971</v>
      </c>
    </row>
    <row r="135" spans="1:17" x14ac:dyDescent="0.3">
      <c r="A135" t="s">
        <v>507</v>
      </c>
      <c r="B135" t="s">
        <v>503</v>
      </c>
      <c r="C135" t="s">
        <v>505</v>
      </c>
      <c r="D135" t="s">
        <v>508</v>
      </c>
      <c r="E135">
        <v>23</v>
      </c>
      <c r="F135" t="str">
        <f t="shared" si="4"/>
        <v>adult</v>
      </c>
      <c r="G135">
        <v>-17</v>
      </c>
      <c r="H135">
        <v>92</v>
      </c>
      <c r="I135">
        <v>1</v>
      </c>
      <c r="J135">
        <v>1.55</v>
      </c>
      <c r="K135" t="s">
        <v>930</v>
      </c>
      <c r="L135" t="s">
        <v>930</v>
      </c>
      <c r="M135">
        <v>62.6</v>
      </c>
      <c r="N135" t="s">
        <v>53</v>
      </c>
      <c r="O135">
        <v>134</v>
      </c>
      <c r="P135" t="s">
        <v>506</v>
      </c>
      <c r="Q135">
        <v>534577</v>
      </c>
    </row>
    <row r="136" spans="1:17" x14ac:dyDescent="0.3">
      <c r="A136" t="s">
        <v>753</v>
      </c>
      <c r="B136" t="s">
        <v>754</v>
      </c>
      <c r="C136" t="s">
        <v>25</v>
      </c>
      <c r="D136" t="s">
        <v>30</v>
      </c>
      <c r="E136">
        <v>41</v>
      </c>
      <c r="F136" t="str">
        <f t="shared" si="4"/>
        <v>adult</v>
      </c>
      <c r="G136">
        <v>420</v>
      </c>
      <c r="H136">
        <v>7</v>
      </c>
      <c r="I136">
        <v>1</v>
      </c>
      <c r="J136">
        <v>1.52</v>
      </c>
      <c r="K136">
        <v>44882</v>
      </c>
      <c r="L136" t="s">
        <v>751</v>
      </c>
      <c r="M136">
        <v>52.2</v>
      </c>
      <c r="N136" t="s">
        <v>2</v>
      </c>
      <c r="O136">
        <v>405</v>
      </c>
      <c r="P136" t="s">
        <v>752</v>
      </c>
      <c r="Q136">
        <v>172716</v>
      </c>
    </row>
    <row r="137" spans="1:17" x14ac:dyDescent="0.3">
      <c r="A137" t="s">
        <v>193</v>
      </c>
      <c r="B137" t="s">
        <v>194</v>
      </c>
      <c r="C137" t="s">
        <v>191</v>
      </c>
      <c r="D137" t="s">
        <v>195</v>
      </c>
      <c r="E137">
        <v>30</v>
      </c>
      <c r="F137" t="str">
        <f t="shared" si="4"/>
        <v>adult</v>
      </c>
      <c r="G137">
        <v>98</v>
      </c>
      <c r="H137">
        <v>42</v>
      </c>
      <c r="I137">
        <v>1</v>
      </c>
      <c r="J137">
        <v>1.58</v>
      </c>
      <c r="K137" t="s">
        <v>930</v>
      </c>
      <c r="L137" t="s">
        <v>930</v>
      </c>
      <c r="M137">
        <v>59.9</v>
      </c>
      <c r="N137" t="s">
        <v>53</v>
      </c>
      <c r="O137">
        <v>304</v>
      </c>
      <c r="P137" t="s">
        <v>192</v>
      </c>
      <c r="Q137">
        <v>505225</v>
      </c>
    </row>
    <row r="138" spans="1:17" x14ac:dyDescent="0.3">
      <c r="A138" t="s">
        <v>193</v>
      </c>
      <c r="B138" t="s">
        <v>750</v>
      </c>
      <c r="C138" t="s">
        <v>25</v>
      </c>
      <c r="D138" t="s">
        <v>30</v>
      </c>
      <c r="E138">
        <v>42</v>
      </c>
      <c r="F138" t="str">
        <f t="shared" si="4"/>
        <v>adult</v>
      </c>
      <c r="G138">
        <v>460</v>
      </c>
      <c r="H138">
        <v>6</v>
      </c>
      <c r="I138">
        <v>1</v>
      </c>
      <c r="J138">
        <v>1.65</v>
      </c>
      <c r="K138">
        <v>44867</v>
      </c>
      <c r="L138" t="s">
        <v>748</v>
      </c>
      <c r="M138">
        <v>68</v>
      </c>
      <c r="N138" t="s">
        <v>2</v>
      </c>
      <c r="O138">
        <v>404</v>
      </c>
      <c r="P138" t="s">
        <v>749</v>
      </c>
      <c r="Q138">
        <v>256330</v>
      </c>
    </row>
    <row r="139" spans="1:17" x14ac:dyDescent="0.3">
      <c r="A139" t="s">
        <v>672</v>
      </c>
      <c r="B139" t="s">
        <v>673</v>
      </c>
      <c r="C139" t="s">
        <v>669</v>
      </c>
      <c r="D139" t="s">
        <v>674</v>
      </c>
      <c r="E139">
        <v>25</v>
      </c>
      <c r="F139" t="str">
        <f t="shared" si="4"/>
        <v>adult</v>
      </c>
      <c r="G139">
        <v>-42</v>
      </c>
      <c r="H139">
        <v>117</v>
      </c>
      <c r="I139">
        <v>1</v>
      </c>
      <c r="J139">
        <v>1.74</v>
      </c>
      <c r="K139">
        <v>44721</v>
      </c>
      <c r="L139" t="s">
        <v>670</v>
      </c>
      <c r="M139">
        <v>64</v>
      </c>
      <c r="N139" t="s">
        <v>53</v>
      </c>
      <c r="O139">
        <v>208</v>
      </c>
      <c r="P139" t="s">
        <v>671</v>
      </c>
      <c r="Q139">
        <v>1243131</v>
      </c>
    </row>
    <row r="140" spans="1:17" x14ac:dyDescent="0.3">
      <c r="A140" t="s">
        <v>654</v>
      </c>
      <c r="B140" t="s">
        <v>655</v>
      </c>
      <c r="C140" t="s">
        <v>651</v>
      </c>
      <c r="D140" t="s">
        <v>656</v>
      </c>
      <c r="E140">
        <v>34</v>
      </c>
      <c r="F140" t="str">
        <f t="shared" si="4"/>
        <v>adult</v>
      </c>
      <c r="G140">
        <v>-42</v>
      </c>
      <c r="H140">
        <v>117</v>
      </c>
      <c r="I140">
        <v>1</v>
      </c>
      <c r="J140">
        <v>1.65</v>
      </c>
      <c r="K140">
        <v>44613</v>
      </c>
      <c r="L140" t="s">
        <v>652</v>
      </c>
      <c r="M140">
        <v>56.2</v>
      </c>
      <c r="N140" t="s">
        <v>53</v>
      </c>
      <c r="O140">
        <v>217</v>
      </c>
      <c r="P140" t="s">
        <v>653</v>
      </c>
      <c r="Q140">
        <v>975294</v>
      </c>
    </row>
    <row r="141" spans="1:17" x14ac:dyDescent="0.3">
      <c r="A141" t="s">
        <v>256</v>
      </c>
      <c r="B141" t="s">
        <v>257</v>
      </c>
      <c r="C141" t="s">
        <v>253</v>
      </c>
      <c r="D141" t="s">
        <v>258</v>
      </c>
      <c r="E141">
        <v>37</v>
      </c>
      <c r="F141" t="str">
        <f t="shared" si="4"/>
        <v>adult</v>
      </c>
      <c r="G141">
        <v>45</v>
      </c>
      <c r="H141">
        <v>54</v>
      </c>
      <c r="I141">
        <v>1</v>
      </c>
      <c r="J141">
        <v>1.74</v>
      </c>
      <c r="K141">
        <v>44759</v>
      </c>
      <c r="L141" t="s">
        <v>254</v>
      </c>
      <c r="M141">
        <v>68</v>
      </c>
      <c r="N141" t="s">
        <v>53</v>
      </c>
      <c r="O141">
        <v>182</v>
      </c>
      <c r="P141" t="s">
        <v>255</v>
      </c>
      <c r="Q141">
        <v>350442</v>
      </c>
    </row>
    <row r="142" spans="1:17" x14ac:dyDescent="0.3">
      <c r="A142" t="s">
        <v>306</v>
      </c>
      <c r="B142" t="s">
        <v>307</v>
      </c>
      <c r="C142" t="s">
        <v>303</v>
      </c>
      <c r="D142" t="s">
        <v>308</v>
      </c>
      <c r="E142">
        <v>27</v>
      </c>
      <c r="F142" t="str">
        <f t="shared" si="4"/>
        <v>adult</v>
      </c>
      <c r="G142">
        <v>28</v>
      </c>
      <c r="H142">
        <v>64</v>
      </c>
      <c r="I142">
        <v>1</v>
      </c>
      <c r="J142">
        <v>1.62</v>
      </c>
      <c r="K142">
        <v>44740</v>
      </c>
      <c r="L142" t="s">
        <v>304</v>
      </c>
      <c r="M142">
        <v>68</v>
      </c>
      <c r="N142" t="s">
        <v>53</v>
      </c>
      <c r="O142">
        <v>156</v>
      </c>
      <c r="P142" t="s">
        <v>305</v>
      </c>
      <c r="Q142">
        <v>855131</v>
      </c>
    </row>
    <row r="143" spans="1:17" x14ac:dyDescent="0.3">
      <c r="A143" t="s">
        <v>306</v>
      </c>
      <c r="B143" t="s">
        <v>787</v>
      </c>
      <c r="C143" t="s">
        <v>25</v>
      </c>
      <c r="D143" t="s">
        <v>30</v>
      </c>
      <c r="E143">
        <v>46</v>
      </c>
      <c r="F143" t="str">
        <f t="shared" si="4"/>
        <v>adult</v>
      </c>
      <c r="G143">
        <v>410</v>
      </c>
      <c r="H143">
        <v>6</v>
      </c>
      <c r="I143">
        <v>1</v>
      </c>
      <c r="J143">
        <v>1.68</v>
      </c>
      <c r="K143">
        <v>44918</v>
      </c>
      <c r="L143" t="s">
        <v>785</v>
      </c>
      <c r="M143">
        <v>61.2</v>
      </c>
      <c r="N143" t="s">
        <v>2</v>
      </c>
      <c r="O143">
        <v>456</v>
      </c>
      <c r="P143" t="s">
        <v>786</v>
      </c>
      <c r="Q143">
        <v>178647</v>
      </c>
    </row>
    <row r="144" spans="1:17" x14ac:dyDescent="0.3">
      <c r="A144" t="s">
        <v>558</v>
      </c>
      <c r="B144" t="s">
        <v>559</v>
      </c>
      <c r="C144" t="s">
        <v>555</v>
      </c>
      <c r="D144" t="s">
        <v>560</v>
      </c>
      <c r="E144">
        <v>27</v>
      </c>
      <c r="F144" t="str">
        <f t="shared" si="4"/>
        <v>adult</v>
      </c>
      <c r="G144">
        <v>-27</v>
      </c>
      <c r="H144">
        <v>102</v>
      </c>
      <c r="I144">
        <v>1</v>
      </c>
      <c r="J144">
        <v>1.58</v>
      </c>
      <c r="K144">
        <v>44730</v>
      </c>
      <c r="L144" t="s">
        <v>556</v>
      </c>
      <c r="M144">
        <v>59.9</v>
      </c>
      <c r="N144" t="s">
        <v>53</v>
      </c>
      <c r="O144">
        <v>193</v>
      </c>
      <c r="P144" t="s">
        <v>557</v>
      </c>
      <c r="Q144">
        <v>586509</v>
      </c>
    </row>
    <row r="145" spans="1:17" x14ac:dyDescent="0.3">
      <c r="A145" t="s">
        <v>484</v>
      </c>
      <c r="B145" t="s">
        <v>485</v>
      </c>
      <c r="C145" t="s">
        <v>482</v>
      </c>
      <c r="D145" t="s">
        <v>486</v>
      </c>
      <c r="E145">
        <v>32</v>
      </c>
      <c r="F145" t="str">
        <f t="shared" si="4"/>
        <v>adult</v>
      </c>
      <c r="G145">
        <v>-17</v>
      </c>
      <c r="H145">
        <v>92</v>
      </c>
      <c r="I145">
        <v>1</v>
      </c>
      <c r="J145">
        <v>1.62</v>
      </c>
      <c r="K145" t="s">
        <v>930</v>
      </c>
      <c r="L145" t="s">
        <v>930</v>
      </c>
      <c r="M145">
        <v>59.9</v>
      </c>
      <c r="N145" t="s">
        <v>53</v>
      </c>
      <c r="O145">
        <v>151</v>
      </c>
      <c r="P145" t="s">
        <v>483</v>
      </c>
      <c r="Q145">
        <v>456619</v>
      </c>
    </row>
    <row r="146" spans="1:17" x14ac:dyDescent="0.3">
      <c r="A146" t="s">
        <v>181</v>
      </c>
      <c r="B146" t="s">
        <v>182</v>
      </c>
      <c r="C146" t="s">
        <v>19</v>
      </c>
      <c r="D146" t="s">
        <v>24</v>
      </c>
      <c r="E146">
        <v>30</v>
      </c>
      <c r="F146" t="str">
        <f t="shared" si="4"/>
        <v>adult</v>
      </c>
      <c r="G146">
        <v>125</v>
      </c>
      <c r="H146">
        <v>39</v>
      </c>
      <c r="I146">
        <v>1</v>
      </c>
      <c r="J146">
        <v>1.65</v>
      </c>
      <c r="K146">
        <v>44953</v>
      </c>
      <c r="L146" t="s">
        <v>179</v>
      </c>
      <c r="M146">
        <v>58.1</v>
      </c>
      <c r="N146" t="s">
        <v>53</v>
      </c>
      <c r="O146">
        <v>308</v>
      </c>
      <c r="P146" t="s">
        <v>180</v>
      </c>
      <c r="Q146">
        <v>96750</v>
      </c>
    </row>
    <row r="147" spans="1:17" x14ac:dyDescent="0.3">
      <c r="A147" t="s">
        <v>145</v>
      </c>
      <c r="B147" t="s">
        <v>146</v>
      </c>
      <c r="C147" t="s">
        <v>25</v>
      </c>
      <c r="D147" t="s">
        <v>30</v>
      </c>
      <c r="E147">
        <v>27</v>
      </c>
      <c r="F147" t="str">
        <f t="shared" si="4"/>
        <v>adult</v>
      </c>
      <c r="G147">
        <v>171</v>
      </c>
      <c r="H147">
        <v>31</v>
      </c>
      <c r="I147">
        <v>1</v>
      </c>
      <c r="J147">
        <v>1.62</v>
      </c>
      <c r="K147">
        <v>44900</v>
      </c>
      <c r="L147" t="s">
        <v>143</v>
      </c>
      <c r="M147">
        <v>64.900000000000006</v>
      </c>
      <c r="N147" t="s">
        <v>53</v>
      </c>
      <c r="O147">
        <v>310</v>
      </c>
      <c r="P147" t="s">
        <v>144</v>
      </c>
      <c r="Q147">
        <v>531598</v>
      </c>
    </row>
    <row r="148" spans="1:17" x14ac:dyDescent="0.3">
      <c r="A148" t="s">
        <v>416</v>
      </c>
      <c r="B148" t="s">
        <v>417</v>
      </c>
      <c r="C148" t="s">
        <v>413</v>
      </c>
      <c r="D148" t="s">
        <v>418</v>
      </c>
      <c r="E148">
        <v>31</v>
      </c>
      <c r="F148" t="str">
        <f t="shared" si="4"/>
        <v>adult</v>
      </c>
      <c r="G148">
        <v>-8</v>
      </c>
      <c r="H148">
        <v>83</v>
      </c>
      <c r="I148">
        <v>1</v>
      </c>
      <c r="J148">
        <v>1.58</v>
      </c>
      <c r="K148">
        <v>44697</v>
      </c>
      <c r="L148" t="s">
        <v>414</v>
      </c>
      <c r="M148">
        <v>58.1</v>
      </c>
      <c r="N148" t="s">
        <v>53</v>
      </c>
      <c r="O148">
        <v>192</v>
      </c>
      <c r="P148" t="s">
        <v>415</v>
      </c>
      <c r="Q148">
        <v>498697</v>
      </c>
    </row>
    <row r="149" spans="1:17" x14ac:dyDescent="0.3">
      <c r="A149" t="s">
        <v>602</v>
      </c>
      <c r="B149" t="s">
        <v>603</v>
      </c>
      <c r="C149" t="s">
        <v>599</v>
      </c>
      <c r="D149" t="s">
        <v>604</v>
      </c>
      <c r="E149">
        <v>44</v>
      </c>
      <c r="F149" t="str">
        <f t="shared" si="4"/>
        <v>adult</v>
      </c>
      <c r="G149">
        <v>-27</v>
      </c>
      <c r="H149">
        <v>102</v>
      </c>
      <c r="I149">
        <v>1</v>
      </c>
      <c r="J149">
        <v>1.25</v>
      </c>
      <c r="K149">
        <v>44769</v>
      </c>
      <c r="L149" t="s">
        <v>600</v>
      </c>
      <c r="M149">
        <v>52.2</v>
      </c>
      <c r="N149" t="s">
        <v>53</v>
      </c>
      <c r="O149">
        <v>201</v>
      </c>
      <c r="P149" t="s">
        <v>601</v>
      </c>
      <c r="Q149">
        <v>671201</v>
      </c>
    </row>
    <row r="150" spans="1:17" x14ac:dyDescent="0.3">
      <c r="A150" t="s">
        <v>602</v>
      </c>
      <c r="B150" t="s">
        <v>883</v>
      </c>
      <c r="C150" t="s">
        <v>61</v>
      </c>
      <c r="D150" t="s">
        <v>66</v>
      </c>
      <c r="E150">
        <v>60</v>
      </c>
      <c r="F150" t="str">
        <f t="shared" si="4"/>
        <v>adult</v>
      </c>
      <c r="G150">
        <v>540</v>
      </c>
      <c r="H150">
        <v>2</v>
      </c>
      <c r="I150">
        <v>1</v>
      </c>
      <c r="J150">
        <v>1.77</v>
      </c>
      <c r="K150">
        <v>44830</v>
      </c>
      <c r="L150" t="s">
        <v>882</v>
      </c>
      <c r="M150">
        <v>67.599999999999994</v>
      </c>
      <c r="N150" t="s">
        <v>2</v>
      </c>
      <c r="O150">
        <v>603</v>
      </c>
      <c r="P150" t="s">
        <v>352</v>
      </c>
      <c r="Q150">
        <v>330392</v>
      </c>
    </row>
    <row r="151" spans="1:17" x14ac:dyDescent="0.3">
      <c r="A151" t="s">
        <v>886</v>
      </c>
      <c r="B151" t="s">
        <v>887</v>
      </c>
      <c r="C151" t="s">
        <v>13</v>
      </c>
      <c r="D151" t="s">
        <v>18</v>
      </c>
      <c r="E151">
        <v>61</v>
      </c>
      <c r="F151" t="str">
        <f t="shared" si="4"/>
        <v>adult</v>
      </c>
      <c r="G151">
        <v>410</v>
      </c>
      <c r="H151">
        <v>3</v>
      </c>
      <c r="I151">
        <v>1</v>
      </c>
      <c r="J151">
        <v>1.62</v>
      </c>
      <c r="K151">
        <v>44873</v>
      </c>
      <c r="L151" t="s">
        <v>884</v>
      </c>
      <c r="M151">
        <v>58.1</v>
      </c>
      <c r="N151" t="s">
        <v>2</v>
      </c>
      <c r="O151">
        <v>602</v>
      </c>
      <c r="P151" t="s">
        <v>885</v>
      </c>
      <c r="Q151">
        <v>145039</v>
      </c>
    </row>
    <row r="152" spans="1:17" x14ac:dyDescent="0.3">
      <c r="A152" t="s">
        <v>189</v>
      </c>
      <c r="B152" t="s">
        <v>190</v>
      </c>
      <c r="C152" t="s">
        <v>25</v>
      </c>
      <c r="D152" t="s">
        <v>30</v>
      </c>
      <c r="E152">
        <v>27</v>
      </c>
      <c r="F152" t="str">
        <f t="shared" si="4"/>
        <v>adult</v>
      </c>
      <c r="G152">
        <v>100</v>
      </c>
      <c r="H152">
        <v>41</v>
      </c>
      <c r="I152">
        <v>1</v>
      </c>
      <c r="J152">
        <v>0.15</v>
      </c>
      <c r="K152">
        <v>44959</v>
      </c>
      <c r="L152" t="s">
        <v>187</v>
      </c>
      <c r="M152">
        <v>59</v>
      </c>
      <c r="N152" t="s">
        <v>53</v>
      </c>
      <c r="O152">
        <v>312</v>
      </c>
      <c r="P152" t="s">
        <v>188</v>
      </c>
      <c r="Q152">
        <v>279929</v>
      </c>
    </row>
    <row r="153" spans="1:17" x14ac:dyDescent="0.3">
      <c r="A153" t="s">
        <v>98</v>
      </c>
      <c r="B153" t="s">
        <v>99</v>
      </c>
      <c r="C153" t="s">
        <v>19</v>
      </c>
      <c r="D153" t="s">
        <v>24</v>
      </c>
      <c r="E153">
        <v>26</v>
      </c>
      <c r="F153" t="str">
        <f t="shared" si="4"/>
        <v>adult</v>
      </c>
      <c r="G153">
        <v>294</v>
      </c>
      <c r="H153">
        <v>20</v>
      </c>
      <c r="I153">
        <v>1</v>
      </c>
      <c r="J153">
        <v>1.77</v>
      </c>
      <c r="K153">
        <v>44631</v>
      </c>
      <c r="L153" t="s">
        <v>96</v>
      </c>
      <c r="M153">
        <v>68.900000000000006</v>
      </c>
      <c r="N153" t="s">
        <v>53</v>
      </c>
      <c r="O153">
        <v>121</v>
      </c>
      <c r="P153" t="s">
        <v>97</v>
      </c>
      <c r="Q153">
        <v>8859</v>
      </c>
    </row>
    <row r="154" spans="1:17" x14ac:dyDescent="0.3">
      <c r="A154" t="s">
        <v>285</v>
      </c>
      <c r="B154" t="s">
        <v>286</v>
      </c>
      <c r="C154" t="s">
        <v>282</v>
      </c>
      <c r="D154" t="s">
        <v>287</v>
      </c>
      <c r="E154">
        <v>30</v>
      </c>
      <c r="F154" t="str">
        <f t="shared" si="4"/>
        <v>adult</v>
      </c>
      <c r="G154">
        <v>35</v>
      </c>
      <c r="H154">
        <v>60</v>
      </c>
      <c r="I154">
        <v>1</v>
      </c>
      <c r="J154">
        <v>1.62</v>
      </c>
      <c r="K154">
        <v>44692</v>
      </c>
      <c r="L154" t="s">
        <v>283</v>
      </c>
      <c r="M154">
        <v>61.2</v>
      </c>
      <c r="N154" t="s">
        <v>53</v>
      </c>
      <c r="O154">
        <v>161</v>
      </c>
      <c r="P154" t="s">
        <v>284</v>
      </c>
      <c r="Q154">
        <v>215510</v>
      </c>
    </row>
    <row r="155" spans="1:17" x14ac:dyDescent="0.3">
      <c r="A155" t="s">
        <v>699</v>
      </c>
      <c r="B155" t="s">
        <v>700</v>
      </c>
      <c r="C155" t="s">
        <v>25</v>
      </c>
      <c r="D155" t="s">
        <v>30</v>
      </c>
      <c r="E155">
        <v>38</v>
      </c>
      <c r="F155" t="str">
        <f t="shared" si="4"/>
        <v>adult</v>
      </c>
      <c r="G155">
        <v>580</v>
      </c>
      <c r="H155">
        <v>3</v>
      </c>
      <c r="I155">
        <v>1</v>
      </c>
      <c r="J155">
        <v>1.8</v>
      </c>
      <c r="K155">
        <v>44937</v>
      </c>
      <c r="L155" t="s">
        <v>697</v>
      </c>
      <c r="M155">
        <v>68.900000000000006</v>
      </c>
      <c r="N155" t="s">
        <v>2</v>
      </c>
      <c r="O155">
        <v>354</v>
      </c>
      <c r="P155" t="s">
        <v>698</v>
      </c>
      <c r="Q155">
        <v>8015</v>
      </c>
    </row>
    <row r="156" spans="1:17" x14ac:dyDescent="0.3">
      <c r="A156" t="s">
        <v>312</v>
      </c>
      <c r="B156" t="s">
        <v>313</v>
      </c>
      <c r="C156" t="s">
        <v>309</v>
      </c>
      <c r="D156" t="s">
        <v>314</v>
      </c>
      <c r="E156">
        <v>36</v>
      </c>
      <c r="F156" t="str">
        <f t="shared" si="4"/>
        <v>adult</v>
      </c>
      <c r="G156">
        <v>28</v>
      </c>
      <c r="H156">
        <v>65</v>
      </c>
      <c r="I156">
        <v>1</v>
      </c>
      <c r="J156">
        <v>1.8</v>
      </c>
      <c r="K156">
        <v>44609</v>
      </c>
      <c r="L156" t="s">
        <v>310</v>
      </c>
      <c r="M156">
        <v>73</v>
      </c>
      <c r="N156" t="s">
        <v>53</v>
      </c>
      <c r="O156">
        <v>136</v>
      </c>
      <c r="P156" t="s">
        <v>311</v>
      </c>
      <c r="Q156">
        <v>485089</v>
      </c>
    </row>
    <row r="157" spans="1:17" x14ac:dyDescent="0.3">
      <c r="A157" t="s">
        <v>276</v>
      </c>
      <c r="B157" t="s">
        <v>277</v>
      </c>
      <c r="C157" t="s">
        <v>154</v>
      </c>
      <c r="D157" t="s">
        <v>159</v>
      </c>
      <c r="E157">
        <v>27</v>
      </c>
      <c r="F157" t="str">
        <f t="shared" si="4"/>
        <v>adult</v>
      </c>
      <c r="G157">
        <v>36</v>
      </c>
      <c r="H157">
        <v>58</v>
      </c>
      <c r="I157">
        <v>1</v>
      </c>
      <c r="J157">
        <v>1.62</v>
      </c>
      <c r="K157">
        <v>44970</v>
      </c>
      <c r="L157" t="s">
        <v>274</v>
      </c>
      <c r="M157">
        <v>58.1</v>
      </c>
      <c r="N157" t="s">
        <v>53</v>
      </c>
      <c r="O157">
        <v>315</v>
      </c>
      <c r="P157" t="s">
        <v>275</v>
      </c>
      <c r="Q157">
        <v>120277</v>
      </c>
    </row>
    <row r="158" spans="1:17" x14ac:dyDescent="0.3">
      <c r="A158" t="s">
        <v>90</v>
      </c>
      <c r="B158" t="s">
        <v>91</v>
      </c>
      <c r="C158" t="s">
        <v>87</v>
      </c>
      <c r="D158" t="s">
        <v>92</v>
      </c>
      <c r="E158">
        <v>37</v>
      </c>
      <c r="F158" t="str">
        <f t="shared" si="4"/>
        <v>adult</v>
      </c>
      <c r="G158">
        <v>318</v>
      </c>
      <c r="H158">
        <v>18</v>
      </c>
      <c r="I158">
        <v>1</v>
      </c>
      <c r="J158">
        <v>1.74</v>
      </c>
      <c r="K158">
        <v>44674</v>
      </c>
      <c r="L158" t="s">
        <v>88</v>
      </c>
      <c r="M158">
        <v>61.2</v>
      </c>
      <c r="N158" t="s">
        <v>53</v>
      </c>
      <c r="O158">
        <v>13</v>
      </c>
      <c r="P158" t="s">
        <v>89</v>
      </c>
      <c r="Q158">
        <v>2536</v>
      </c>
    </row>
    <row r="159" spans="1:17" x14ac:dyDescent="0.3">
      <c r="A159" t="s">
        <v>564</v>
      </c>
      <c r="B159" t="s">
        <v>565</v>
      </c>
      <c r="C159" t="s">
        <v>561</v>
      </c>
      <c r="D159" t="s">
        <v>566</v>
      </c>
      <c r="E159">
        <v>31</v>
      </c>
      <c r="F159" t="str">
        <f t="shared" si="4"/>
        <v>adult</v>
      </c>
      <c r="G159">
        <v>-27</v>
      </c>
      <c r="H159">
        <v>102</v>
      </c>
      <c r="I159">
        <v>1</v>
      </c>
      <c r="J159">
        <v>1.68</v>
      </c>
      <c r="K159">
        <v>44745</v>
      </c>
      <c r="L159" t="s">
        <v>562</v>
      </c>
      <c r="M159">
        <v>65.8</v>
      </c>
      <c r="N159" t="s">
        <v>53</v>
      </c>
      <c r="O159">
        <v>205</v>
      </c>
      <c r="P159" t="s">
        <v>563</v>
      </c>
      <c r="Q159">
        <v>1037933</v>
      </c>
    </row>
    <row r="160" spans="1:17" x14ac:dyDescent="0.3">
      <c r="A160" t="s">
        <v>353</v>
      </c>
      <c r="B160" t="s">
        <v>354</v>
      </c>
      <c r="C160" t="s">
        <v>350</v>
      </c>
      <c r="D160" t="s">
        <v>355</v>
      </c>
      <c r="E160">
        <v>26</v>
      </c>
      <c r="F160" t="str">
        <f t="shared" si="4"/>
        <v>adult</v>
      </c>
      <c r="G160">
        <v>18</v>
      </c>
      <c r="H160">
        <v>72</v>
      </c>
      <c r="I160">
        <v>1</v>
      </c>
      <c r="J160">
        <v>1.62</v>
      </c>
      <c r="K160">
        <v>44622</v>
      </c>
      <c r="L160" t="s">
        <v>351</v>
      </c>
      <c r="M160">
        <v>54.4</v>
      </c>
      <c r="N160" t="s">
        <v>53</v>
      </c>
      <c r="O160">
        <v>169</v>
      </c>
      <c r="P160" t="s">
        <v>352</v>
      </c>
      <c r="Q160">
        <v>728984</v>
      </c>
    </row>
    <row r="161" spans="1:17" x14ac:dyDescent="0.3">
      <c r="A161" t="s">
        <v>580</v>
      </c>
      <c r="B161" t="s">
        <v>581</v>
      </c>
      <c r="C161" t="s">
        <v>577</v>
      </c>
      <c r="D161" t="s">
        <v>582</v>
      </c>
      <c r="E161">
        <v>30</v>
      </c>
      <c r="F161" t="str">
        <f t="shared" si="4"/>
        <v>adult</v>
      </c>
      <c r="G161">
        <v>-27</v>
      </c>
      <c r="H161">
        <v>102</v>
      </c>
      <c r="I161">
        <v>1</v>
      </c>
      <c r="J161">
        <v>1.65</v>
      </c>
      <c r="K161">
        <v>44675</v>
      </c>
      <c r="L161" t="s">
        <v>578</v>
      </c>
      <c r="M161">
        <v>60.8</v>
      </c>
      <c r="N161" t="s">
        <v>53</v>
      </c>
      <c r="O161">
        <v>153</v>
      </c>
      <c r="P161" t="s">
        <v>579</v>
      </c>
      <c r="Q161">
        <v>382954</v>
      </c>
    </row>
    <row r="162" spans="1:17" x14ac:dyDescent="0.3">
      <c r="A162" t="s">
        <v>388</v>
      </c>
      <c r="B162" t="s">
        <v>389</v>
      </c>
      <c r="C162" t="s">
        <v>385</v>
      </c>
      <c r="D162" t="s">
        <v>390</v>
      </c>
      <c r="E162">
        <v>29</v>
      </c>
      <c r="F162" t="str">
        <f t="shared" ref="F162:F192" si="5">IF(E162&lt;18,"teen","adult")</f>
        <v>adult</v>
      </c>
      <c r="G162">
        <v>-3</v>
      </c>
      <c r="H162">
        <v>78</v>
      </c>
      <c r="I162">
        <v>1</v>
      </c>
      <c r="J162">
        <v>1.58</v>
      </c>
      <c r="K162">
        <v>44727</v>
      </c>
      <c r="L162" t="s">
        <v>386</v>
      </c>
      <c r="M162">
        <v>64</v>
      </c>
      <c r="N162" t="s">
        <v>53</v>
      </c>
      <c r="O162">
        <v>139</v>
      </c>
      <c r="P162" t="s">
        <v>387</v>
      </c>
      <c r="Q162">
        <v>683305</v>
      </c>
    </row>
    <row r="163" spans="1:17" x14ac:dyDescent="0.3">
      <c r="A163" t="s">
        <v>772</v>
      </c>
      <c r="B163" t="s">
        <v>773</v>
      </c>
      <c r="C163" t="s">
        <v>25</v>
      </c>
      <c r="D163" t="s">
        <v>30</v>
      </c>
      <c r="E163">
        <v>45</v>
      </c>
      <c r="F163" t="str">
        <f t="shared" si="5"/>
        <v>adult</v>
      </c>
      <c r="G163">
        <v>600</v>
      </c>
      <c r="H163">
        <v>2</v>
      </c>
      <c r="I163">
        <v>1</v>
      </c>
      <c r="J163">
        <v>1.71</v>
      </c>
      <c r="K163">
        <v>44835</v>
      </c>
      <c r="L163" t="s">
        <v>770</v>
      </c>
      <c r="M163">
        <v>62.6</v>
      </c>
      <c r="N163" t="s">
        <v>2</v>
      </c>
      <c r="O163">
        <v>460</v>
      </c>
      <c r="P163" t="s">
        <v>771</v>
      </c>
      <c r="Q163">
        <v>244482</v>
      </c>
    </row>
    <row r="164" spans="1:17" x14ac:dyDescent="0.3">
      <c r="A164" t="s">
        <v>433</v>
      </c>
      <c r="B164" t="s">
        <v>434</v>
      </c>
      <c r="C164" t="s">
        <v>430</v>
      </c>
      <c r="D164" t="s">
        <v>435</v>
      </c>
      <c r="E164">
        <v>24</v>
      </c>
      <c r="F164" t="str">
        <f t="shared" si="5"/>
        <v>adult</v>
      </c>
      <c r="G164">
        <v>-11</v>
      </c>
      <c r="H164">
        <v>86</v>
      </c>
      <c r="I164">
        <v>1</v>
      </c>
      <c r="J164">
        <v>1.62</v>
      </c>
      <c r="K164">
        <v>44623</v>
      </c>
      <c r="L164" t="s">
        <v>431</v>
      </c>
      <c r="M164">
        <v>55.8</v>
      </c>
      <c r="N164" t="s">
        <v>53</v>
      </c>
      <c r="O164">
        <v>176</v>
      </c>
      <c r="P164" t="s">
        <v>432</v>
      </c>
      <c r="Q164">
        <v>953791</v>
      </c>
    </row>
    <row r="165" spans="1:17" x14ac:dyDescent="0.3">
      <c r="A165" t="s">
        <v>570</v>
      </c>
      <c r="B165" t="s">
        <v>571</v>
      </c>
      <c r="C165" t="s">
        <v>567</v>
      </c>
      <c r="D165" t="s">
        <v>572</v>
      </c>
      <c r="E165">
        <v>36</v>
      </c>
      <c r="F165" t="str">
        <f t="shared" si="5"/>
        <v>adult</v>
      </c>
      <c r="G165">
        <v>-27</v>
      </c>
      <c r="H165">
        <v>102</v>
      </c>
      <c r="I165">
        <v>1</v>
      </c>
      <c r="J165">
        <v>1.8</v>
      </c>
      <c r="K165">
        <v>44656</v>
      </c>
      <c r="L165" t="s">
        <v>568</v>
      </c>
      <c r="M165">
        <v>68</v>
      </c>
      <c r="N165" t="s">
        <v>53</v>
      </c>
      <c r="O165">
        <v>204</v>
      </c>
      <c r="P165" t="s">
        <v>569</v>
      </c>
      <c r="Q165">
        <v>1111705</v>
      </c>
    </row>
    <row r="166" spans="1:17" x14ac:dyDescent="0.3">
      <c r="A166" t="s">
        <v>421</v>
      </c>
      <c r="B166" t="s">
        <v>422</v>
      </c>
      <c r="C166" t="s">
        <v>419</v>
      </c>
      <c r="D166" t="s">
        <v>423</v>
      </c>
      <c r="E166">
        <v>21</v>
      </c>
      <c r="F166" t="str">
        <f t="shared" si="5"/>
        <v>adult</v>
      </c>
      <c r="G166">
        <v>-9</v>
      </c>
      <c r="H166">
        <v>84</v>
      </c>
      <c r="I166">
        <v>1</v>
      </c>
      <c r="J166">
        <v>0.15</v>
      </c>
      <c r="K166" t="s">
        <v>930</v>
      </c>
      <c r="L166" t="s">
        <v>930</v>
      </c>
      <c r="M166">
        <v>55.3</v>
      </c>
      <c r="N166" t="s">
        <v>53</v>
      </c>
      <c r="O166">
        <v>178</v>
      </c>
      <c r="P166" t="s">
        <v>420</v>
      </c>
      <c r="Q166">
        <v>1351483</v>
      </c>
    </row>
    <row r="167" spans="1:17" x14ac:dyDescent="0.3">
      <c r="A167" t="s">
        <v>172</v>
      </c>
      <c r="B167" t="s">
        <v>173</v>
      </c>
      <c r="C167" t="s">
        <v>169</v>
      </c>
      <c r="D167" t="s">
        <v>174</v>
      </c>
      <c r="E167">
        <v>23</v>
      </c>
      <c r="F167" t="str">
        <f t="shared" si="5"/>
        <v>adult</v>
      </c>
      <c r="G167">
        <v>141</v>
      </c>
      <c r="H167">
        <v>37</v>
      </c>
      <c r="I167">
        <v>1</v>
      </c>
      <c r="J167">
        <v>1.71</v>
      </c>
      <c r="K167">
        <v>44657</v>
      </c>
      <c r="L167" t="s">
        <v>170</v>
      </c>
      <c r="M167">
        <v>64.900000000000006</v>
      </c>
      <c r="N167" t="s">
        <v>53</v>
      </c>
      <c r="O167">
        <v>146</v>
      </c>
      <c r="P167" t="s">
        <v>171</v>
      </c>
      <c r="Q167">
        <v>635438</v>
      </c>
    </row>
    <row r="168" spans="1:17" x14ac:dyDescent="0.3">
      <c r="A168" t="s">
        <v>394</v>
      </c>
      <c r="B168" t="s">
        <v>395</v>
      </c>
      <c r="C168" t="s">
        <v>391</v>
      </c>
      <c r="D168" t="s">
        <v>396</v>
      </c>
      <c r="E168">
        <v>31</v>
      </c>
      <c r="F168" t="str">
        <f t="shared" si="5"/>
        <v>adult</v>
      </c>
      <c r="G168">
        <v>-4</v>
      </c>
      <c r="H168">
        <v>79</v>
      </c>
      <c r="I168">
        <v>1</v>
      </c>
      <c r="J168">
        <v>1.71</v>
      </c>
      <c r="K168">
        <v>44770</v>
      </c>
      <c r="L168" t="s">
        <v>392</v>
      </c>
      <c r="M168">
        <v>65.8</v>
      </c>
      <c r="N168" t="s">
        <v>53</v>
      </c>
      <c r="O168">
        <v>158</v>
      </c>
      <c r="P168" t="s">
        <v>393</v>
      </c>
      <c r="Q168">
        <v>295501</v>
      </c>
    </row>
    <row r="169" spans="1:17" x14ac:dyDescent="0.3">
      <c r="A169" t="s">
        <v>410</v>
      </c>
      <c r="B169" t="s">
        <v>411</v>
      </c>
      <c r="C169" t="s">
        <v>407</v>
      </c>
      <c r="D169" t="s">
        <v>412</v>
      </c>
      <c r="E169">
        <v>31</v>
      </c>
      <c r="F169" t="str">
        <f t="shared" si="5"/>
        <v>adult</v>
      </c>
      <c r="G169">
        <v>-7</v>
      </c>
      <c r="H169">
        <v>82</v>
      </c>
      <c r="I169">
        <v>1</v>
      </c>
      <c r="J169">
        <v>1.71</v>
      </c>
      <c r="K169">
        <v>44666</v>
      </c>
      <c r="L169" t="s">
        <v>408</v>
      </c>
      <c r="M169">
        <v>72.099999999999994</v>
      </c>
      <c r="N169" t="s">
        <v>53</v>
      </c>
      <c r="O169">
        <v>150</v>
      </c>
      <c r="P169" t="s">
        <v>409</v>
      </c>
      <c r="Q169">
        <v>663979</v>
      </c>
    </row>
    <row r="170" spans="1:17" x14ac:dyDescent="0.3">
      <c r="A170" t="s">
        <v>760</v>
      </c>
      <c r="B170" t="s">
        <v>761</v>
      </c>
      <c r="C170" t="s">
        <v>61</v>
      </c>
      <c r="D170" t="s">
        <v>66</v>
      </c>
      <c r="E170">
        <v>41</v>
      </c>
      <c r="F170" t="str">
        <f t="shared" si="5"/>
        <v>adult</v>
      </c>
      <c r="G170">
        <v>160</v>
      </c>
      <c r="H170">
        <v>9</v>
      </c>
      <c r="I170">
        <v>1</v>
      </c>
      <c r="J170">
        <v>1.68</v>
      </c>
      <c r="K170">
        <v>44920</v>
      </c>
      <c r="L170" t="s">
        <v>758</v>
      </c>
      <c r="M170">
        <v>63.5</v>
      </c>
      <c r="N170" t="s">
        <v>53</v>
      </c>
      <c r="O170">
        <v>408</v>
      </c>
      <c r="P170" t="s">
        <v>759</v>
      </c>
      <c r="Q170">
        <v>15182</v>
      </c>
    </row>
    <row r="171" spans="1:17" x14ac:dyDescent="0.3">
      <c r="A171" t="s">
        <v>760</v>
      </c>
      <c r="B171" t="s">
        <v>784</v>
      </c>
      <c r="C171" t="s">
        <v>25</v>
      </c>
      <c r="D171" t="s">
        <v>30</v>
      </c>
      <c r="E171">
        <v>45</v>
      </c>
      <c r="F171" t="str">
        <f t="shared" si="5"/>
        <v>adult</v>
      </c>
      <c r="G171">
        <v>520</v>
      </c>
      <c r="H171">
        <v>5</v>
      </c>
      <c r="I171">
        <v>1</v>
      </c>
      <c r="J171">
        <v>1.74</v>
      </c>
      <c r="K171">
        <v>44933</v>
      </c>
      <c r="L171" t="s">
        <v>782</v>
      </c>
      <c r="M171">
        <v>64.900000000000006</v>
      </c>
      <c r="N171" t="s">
        <v>2</v>
      </c>
      <c r="O171">
        <v>457</v>
      </c>
      <c r="P171" t="s">
        <v>783</v>
      </c>
      <c r="Q171">
        <v>294840</v>
      </c>
    </row>
    <row r="172" spans="1:17" x14ac:dyDescent="0.3">
      <c r="A172" t="s">
        <v>869</v>
      </c>
      <c r="B172" t="s">
        <v>870</v>
      </c>
      <c r="C172" t="s">
        <v>25</v>
      </c>
      <c r="D172" t="s">
        <v>30</v>
      </c>
      <c r="E172">
        <v>56</v>
      </c>
      <c r="F172" t="str">
        <f t="shared" si="5"/>
        <v>adult</v>
      </c>
      <c r="G172">
        <v>250</v>
      </c>
      <c r="H172">
        <v>8</v>
      </c>
      <c r="I172">
        <v>1</v>
      </c>
      <c r="J172">
        <v>1.68</v>
      </c>
      <c r="K172">
        <v>44884</v>
      </c>
      <c r="L172" t="s">
        <v>867</v>
      </c>
      <c r="M172">
        <v>65.8</v>
      </c>
      <c r="N172" t="s">
        <v>2</v>
      </c>
      <c r="O172">
        <v>559</v>
      </c>
      <c r="P172" t="s">
        <v>868</v>
      </c>
      <c r="Q172">
        <v>100338</v>
      </c>
    </row>
    <row r="173" spans="1:17" x14ac:dyDescent="0.3">
      <c r="A173" t="s">
        <v>869</v>
      </c>
      <c r="B173" t="s">
        <v>890</v>
      </c>
      <c r="C173" t="s">
        <v>25</v>
      </c>
      <c r="D173" t="s">
        <v>30</v>
      </c>
      <c r="E173">
        <v>60</v>
      </c>
      <c r="F173" t="str">
        <f t="shared" si="5"/>
        <v>adult</v>
      </c>
      <c r="G173">
        <v>400</v>
      </c>
      <c r="H173">
        <v>4</v>
      </c>
      <c r="I173">
        <v>1</v>
      </c>
      <c r="J173">
        <v>1.58</v>
      </c>
      <c r="K173">
        <v>44849</v>
      </c>
      <c r="L173" t="s">
        <v>888</v>
      </c>
      <c r="M173">
        <v>55.8</v>
      </c>
      <c r="N173" t="s">
        <v>2</v>
      </c>
      <c r="O173">
        <v>608</v>
      </c>
      <c r="P173" t="s">
        <v>889</v>
      </c>
      <c r="Q173">
        <v>819703</v>
      </c>
    </row>
    <row r="174" spans="1:17" x14ac:dyDescent="0.3">
      <c r="A174" t="s">
        <v>880</v>
      </c>
      <c r="B174" t="s">
        <v>881</v>
      </c>
      <c r="C174" t="s">
        <v>61</v>
      </c>
      <c r="D174" t="s">
        <v>66</v>
      </c>
      <c r="E174">
        <v>60</v>
      </c>
      <c r="F174" t="str">
        <f t="shared" si="5"/>
        <v>adult</v>
      </c>
      <c r="G174">
        <v>700</v>
      </c>
      <c r="H174">
        <v>1</v>
      </c>
      <c r="I174">
        <v>1</v>
      </c>
      <c r="J174">
        <v>1.68</v>
      </c>
      <c r="K174">
        <v>44917</v>
      </c>
      <c r="L174" t="s">
        <v>879</v>
      </c>
      <c r="M174">
        <v>55.8</v>
      </c>
      <c r="N174" t="s">
        <v>2</v>
      </c>
      <c r="O174">
        <v>601</v>
      </c>
      <c r="P174" t="s">
        <v>352</v>
      </c>
      <c r="Q174">
        <v>150577</v>
      </c>
    </row>
    <row r="175" spans="1:17" x14ac:dyDescent="0.3">
      <c r="A175" t="s">
        <v>715</v>
      </c>
      <c r="B175" t="s">
        <v>716</v>
      </c>
      <c r="C175" t="s">
        <v>309</v>
      </c>
      <c r="D175" t="s">
        <v>314</v>
      </c>
      <c r="E175">
        <v>35</v>
      </c>
      <c r="F175" t="str">
        <f t="shared" si="5"/>
        <v>adult</v>
      </c>
      <c r="G175">
        <v>330</v>
      </c>
      <c r="H175">
        <v>7</v>
      </c>
      <c r="I175">
        <v>1</v>
      </c>
      <c r="J175">
        <v>1.55</v>
      </c>
      <c r="K175">
        <v>44828</v>
      </c>
      <c r="L175" t="s">
        <v>713</v>
      </c>
      <c r="M175">
        <v>64.900000000000006</v>
      </c>
      <c r="N175" t="s">
        <v>2</v>
      </c>
      <c r="O175">
        <v>355</v>
      </c>
      <c r="P175" t="s">
        <v>714</v>
      </c>
      <c r="Q175">
        <v>527325</v>
      </c>
    </row>
    <row r="176" spans="1:17" x14ac:dyDescent="0.3">
      <c r="A176" t="s">
        <v>290</v>
      </c>
      <c r="B176" t="s">
        <v>291</v>
      </c>
      <c r="C176" t="s">
        <v>288</v>
      </c>
      <c r="D176" t="s">
        <v>292</v>
      </c>
      <c r="E176">
        <v>35</v>
      </c>
      <c r="F176" t="str">
        <f t="shared" si="5"/>
        <v>adult</v>
      </c>
      <c r="G176">
        <v>35</v>
      </c>
      <c r="H176">
        <v>61</v>
      </c>
      <c r="I176">
        <v>1</v>
      </c>
      <c r="J176">
        <v>1.74</v>
      </c>
      <c r="K176" t="s">
        <v>930</v>
      </c>
      <c r="L176" t="s">
        <v>930</v>
      </c>
      <c r="M176">
        <v>59.9</v>
      </c>
      <c r="N176" t="s">
        <v>53</v>
      </c>
      <c r="O176">
        <v>174</v>
      </c>
      <c r="P176" t="s">
        <v>289</v>
      </c>
      <c r="Q176">
        <v>120265</v>
      </c>
    </row>
    <row r="177" spans="1:17" x14ac:dyDescent="0.3">
      <c r="A177" t="s">
        <v>290</v>
      </c>
      <c r="B177" t="s">
        <v>677</v>
      </c>
      <c r="C177" t="s">
        <v>675</v>
      </c>
      <c r="D177" t="s">
        <v>678</v>
      </c>
      <c r="E177">
        <v>23</v>
      </c>
      <c r="F177" t="str">
        <f t="shared" si="5"/>
        <v>adult</v>
      </c>
      <c r="G177">
        <v>-42</v>
      </c>
      <c r="H177">
        <v>117</v>
      </c>
      <c r="I177">
        <v>1</v>
      </c>
      <c r="J177">
        <v>1.65</v>
      </c>
      <c r="K177" t="s">
        <v>930</v>
      </c>
      <c r="L177" t="s">
        <v>930</v>
      </c>
      <c r="M177">
        <v>64.900000000000006</v>
      </c>
      <c r="N177" t="s">
        <v>53</v>
      </c>
      <c r="O177">
        <v>188</v>
      </c>
      <c r="P177" t="s">
        <v>676</v>
      </c>
      <c r="Q177">
        <v>1521928</v>
      </c>
    </row>
    <row r="178" spans="1:17" x14ac:dyDescent="0.3">
      <c r="A178" t="s">
        <v>490</v>
      </c>
      <c r="B178" t="s">
        <v>491</v>
      </c>
      <c r="C178" t="s">
        <v>487</v>
      </c>
      <c r="D178" t="s">
        <v>492</v>
      </c>
      <c r="E178">
        <v>19</v>
      </c>
      <c r="F178" t="str">
        <f t="shared" si="5"/>
        <v>adult</v>
      </c>
      <c r="G178">
        <v>-17</v>
      </c>
      <c r="H178">
        <v>92</v>
      </c>
      <c r="I178">
        <v>1</v>
      </c>
      <c r="J178">
        <v>1.68</v>
      </c>
      <c r="K178">
        <v>44744</v>
      </c>
      <c r="L178" t="s">
        <v>488</v>
      </c>
      <c r="M178">
        <v>68</v>
      </c>
      <c r="N178" t="s">
        <v>53</v>
      </c>
      <c r="O178">
        <v>184</v>
      </c>
      <c r="P178" t="s">
        <v>489</v>
      </c>
      <c r="Q178">
        <v>685943</v>
      </c>
    </row>
    <row r="179" spans="1:17" x14ac:dyDescent="0.3">
      <c r="A179" t="s">
        <v>301</v>
      </c>
      <c r="B179" t="s">
        <v>302</v>
      </c>
      <c r="C179" t="s">
        <v>25</v>
      </c>
      <c r="D179" t="s">
        <v>30</v>
      </c>
      <c r="E179">
        <v>28</v>
      </c>
      <c r="F179" t="str">
        <f t="shared" si="5"/>
        <v>adult</v>
      </c>
      <c r="G179">
        <v>32</v>
      </c>
      <c r="H179">
        <v>63</v>
      </c>
      <c r="I179">
        <v>1</v>
      </c>
      <c r="J179">
        <v>1.71</v>
      </c>
      <c r="K179">
        <v>44950</v>
      </c>
      <c r="L179" t="s">
        <v>299</v>
      </c>
      <c r="M179">
        <v>63.5</v>
      </c>
      <c r="N179" t="s">
        <v>53</v>
      </c>
      <c r="O179">
        <v>302</v>
      </c>
      <c r="P179" t="s">
        <v>300</v>
      </c>
      <c r="Q179">
        <v>235110</v>
      </c>
    </row>
    <row r="180" spans="1:17" x14ac:dyDescent="0.3">
      <c r="A180" t="s">
        <v>224</v>
      </c>
      <c r="B180" t="s">
        <v>225</v>
      </c>
      <c r="C180" t="s">
        <v>221</v>
      </c>
      <c r="D180" t="s">
        <v>226</v>
      </c>
      <c r="E180">
        <v>32</v>
      </c>
      <c r="F180" t="str">
        <f t="shared" si="5"/>
        <v>adult</v>
      </c>
      <c r="G180">
        <v>74</v>
      </c>
      <c r="H180">
        <v>48</v>
      </c>
      <c r="I180">
        <v>1</v>
      </c>
      <c r="J180">
        <v>1.71</v>
      </c>
      <c r="K180">
        <v>44668</v>
      </c>
      <c r="L180" t="s">
        <v>222</v>
      </c>
      <c r="M180">
        <v>64.900000000000006</v>
      </c>
      <c r="N180" t="s">
        <v>53</v>
      </c>
      <c r="O180">
        <v>140</v>
      </c>
      <c r="P180" t="s">
        <v>223</v>
      </c>
      <c r="Q180">
        <v>258629</v>
      </c>
    </row>
    <row r="181" spans="1:17" x14ac:dyDescent="0.3">
      <c r="A181" t="s">
        <v>50</v>
      </c>
      <c r="B181" t="s">
        <v>51</v>
      </c>
      <c r="C181" t="s">
        <v>19</v>
      </c>
      <c r="D181" t="s">
        <v>24</v>
      </c>
      <c r="E181">
        <v>27</v>
      </c>
      <c r="F181" t="str">
        <f t="shared" si="5"/>
        <v>adult</v>
      </c>
      <c r="G181">
        <v>611</v>
      </c>
      <c r="H181">
        <v>10</v>
      </c>
      <c r="I181">
        <v>1</v>
      </c>
      <c r="J181">
        <v>1.68</v>
      </c>
      <c r="K181">
        <v>44952</v>
      </c>
      <c r="L181" t="s">
        <v>48</v>
      </c>
      <c r="M181">
        <v>59</v>
      </c>
      <c r="N181" t="s">
        <v>2</v>
      </c>
      <c r="O181">
        <v>119</v>
      </c>
      <c r="P181" t="s">
        <v>49</v>
      </c>
      <c r="Q181">
        <v>19501</v>
      </c>
    </row>
    <row r="182" spans="1:17" x14ac:dyDescent="0.3">
      <c r="A182" t="s">
        <v>827</v>
      </c>
      <c r="B182" t="s">
        <v>828</v>
      </c>
      <c r="C182" t="s">
        <v>25</v>
      </c>
      <c r="D182" t="s">
        <v>30</v>
      </c>
      <c r="E182">
        <v>50</v>
      </c>
      <c r="F182" t="str">
        <f t="shared" si="5"/>
        <v>adult</v>
      </c>
      <c r="G182">
        <v>420</v>
      </c>
      <c r="H182">
        <v>7</v>
      </c>
      <c r="I182">
        <v>1</v>
      </c>
      <c r="J182">
        <v>1.65</v>
      </c>
      <c r="K182">
        <v>44847</v>
      </c>
      <c r="L182" t="s">
        <v>825</v>
      </c>
      <c r="M182">
        <v>65.8</v>
      </c>
      <c r="N182" t="s">
        <v>2</v>
      </c>
      <c r="O182">
        <v>504</v>
      </c>
      <c r="P182" t="s">
        <v>826</v>
      </c>
      <c r="Q182">
        <v>505635</v>
      </c>
    </row>
    <row r="183" spans="1:17" x14ac:dyDescent="0.3">
      <c r="A183" t="s">
        <v>4</v>
      </c>
      <c r="B183" t="s">
        <v>5</v>
      </c>
      <c r="C183" t="s">
        <v>0</v>
      </c>
      <c r="D183" t="s">
        <v>6</v>
      </c>
      <c r="E183">
        <v>25</v>
      </c>
      <c r="F183" t="str">
        <f t="shared" si="5"/>
        <v>adult</v>
      </c>
      <c r="G183">
        <v>1071</v>
      </c>
      <c r="H183">
        <v>1</v>
      </c>
      <c r="I183">
        <v>1</v>
      </c>
      <c r="J183">
        <v>1.65</v>
      </c>
      <c r="K183">
        <v>44632</v>
      </c>
      <c r="L183" t="s">
        <v>1</v>
      </c>
      <c r="M183">
        <v>58.1</v>
      </c>
      <c r="N183" t="s">
        <v>2</v>
      </c>
      <c r="O183">
        <v>17</v>
      </c>
      <c r="P183" t="s">
        <v>3</v>
      </c>
      <c r="Q183">
        <v>163097</v>
      </c>
    </row>
    <row r="184" spans="1:17" x14ac:dyDescent="0.3">
      <c r="A184" t="s">
        <v>780</v>
      </c>
      <c r="B184" t="s">
        <v>781</v>
      </c>
      <c r="C184" t="s">
        <v>25</v>
      </c>
      <c r="D184" t="s">
        <v>30</v>
      </c>
      <c r="E184">
        <v>47</v>
      </c>
      <c r="F184" t="str">
        <f t="shared" si="5"/>
        <v>adult</v>
      </c>
      <c r="G184">
        <v>550</v>
      </c>
      <c r="H184">
        <v>4</v>
      </c>
      <c r="I184">
        <v>1</v>
      </c>
      <c r="J184">
        <v>1.55</v>
      </c>
      <c r="K184">
        <v>44854</v>
      </c>
      <c r="L184" t="s">
        <v>778</v>
      </c>
      <c r="M184">
        <v>57.2</v>
      </c>
      <c r="N184" t="s">
        <v>2</v>
      </c>
      <c r="O184">
        <v>454</v>
      </c>
      <c r="P184" t="s">
        <v>779</v>
      </c>
      <c r="Q184">
        <v>413700</v>
      </c>
    </row>
    <row r="185" spans="1:17" x14ac:dyDescent="0.3">
      <c r="A185" t="s">
        <v>660</v>
      </c>
      <c r="B185" t="s">
        <v>661</v>
      </c>
      <c r="C185" t="s">
        <v>657</v>
      </c>
      <c r="D185" t="s">
        <v>662</v>
      </c>
      <c r="E185">
        <v>27</v>
      </c>
      <c r="F185" t="str">
        <f t="shared" si="5"/>
        <v>adult</v>
      </c>
      <c r="G185">
        <v>-42</v>
      </c>
      <c r="H185">
        <v>117</v>
      </c>
      <c r="I185">
        <v>1</v>
      </c>
      <c r="J185">
        <v>1.62</v>
      </c>
      <c r="K185">
        <v>44746</v>
      </c>
      <c r="L185" t="s">
        <v>658</v>
      </c>
      <c r="M185">
        <v>57.2</v>
      </c>
      <c r="N185" t="s">
        <v>53</v>
      </c>
      <c r="O185">
        <v>216</v>
      </c>
      <c r="P185" t="s">
        <v>659</v>
      </c>
      <c r="Q185">
        <v>1176528</v>
      </c>
    </row>
    <row r="186" spans="1:17" x14ac:dyDescent="0.3">
      <c r="A186" t="s">
        <v>552</v>
      </c>
      <c r="B186" t="s">
        <v>553</v>
      </c>
      <c r="C186" t="s">
        <v>549</v>
      </c>
      <c r="D186" t="s">
        <v>554</v>
      </c>
      <c r="E186">
        <v>26</v>
      </c>
      <c r="F186" t="str">
        <f t="shared" si="5"/>
        <v>adult</v>
      </c>
      <c r="G186">
        <v>-27</v>
      </c>
      <c r="H186">
        <v>102</v>
      </c>
      <c r="I186">
        <v>1</v>
      </c>
      <c r="J186">
        <v>1.65</v>
      </c>
      <c r="K186">
        <v>44718</v>
      </c>
      <c r="L186" t="s">
        <v>550</v>
      </c>
      <c r="M186">
        <v>63</v>
      </c>
      <c r="N186" t="s">
        <v>53</v>
      </c>
      <c r="O186">
        <v>168</v>
      </c>
      <c r="P186" t="s">
        <v>551</v>
      </c>
      <c r="Q186">
        <v>893571</v>
      </c>
    </row>
    <row r="187" spans="1:17" x14ac:dyDescent="0.3">
      <c r="A187" t="s">
        <v>711</v>
      </c>
      <c r="B187" t="s">
        <v>712</v>
      </c>
      <c r="C187" t="s">
        <v>164</v>
      </c>
      <c r="D187" t="s">
        <v>168</v>
      </c>
      <c r="E187">
        <v>38</v>
      </c>
      <c r="F187" t="str">
        <f t="shared" si="5"/>
        <v>adult</v>
      </c>
      <c r="G187">
        <v>420</v>
      </c>
      <c r="H187">
        <v>6</v>
      </c>
      <c r="I187">
        <v>1</v>
      </c>
      <c r="J187">
        <v>1.68</v>
      </c>
      <c r="K187">
        <v>44823</v>
      </c>
      <c r="L187" t="s">
        <v>709</v>
      </c>
      <c r="M187">
        <v>62.1</v>
      </c>
      <c r="N187" t="s">
        <v>2</v>
      </c>
      <c r="O187">
        <v>351</v>
      </c>
      <c r="P187" t="s">
        <v>710</v>
      </c>
      <c r="Q187">
        <v>290001</v>
      </c>
    </row>
    <row r="188" spans="1:17" x14ac:dyDescent="0.3">
      <c r="A188" t="s">
        <v>347</v>
      </c>
      <c r="B188" t="s">
        <v>348</v>
      </c>
      <c r="C188" t="s">
        <v>345</v>
      </c>
      <c r="D188" t="s">
        <v>349</v>
      </c>
      <c r="E188">
        <v>28</v>
      </c>
      <c r="F188" t="str">
        <f t="shared" si="5"/>
        <v>adult</v>
      </c>
      <c r="G188">
        <v>18</v>
      </c>
      <c r="H188">
        <v>71</v>
      </c>
      <c r="I188">
        <v>1</v>
      </c>
      <c r="J188">
        <v>1.74</v>
      </c>
      <c r="K188" t="s">
        <v>930</v>
      </c>
      <c r="L188" t="s">
        <v>930</v>
      </c>
      <c r="M188">
        <v>64.900000000000006</v>
      </c>
      <c r="N188" t="s">
        <v>53</v>
      </c>
      <c r="O188">
        <v>141</v>
      </c>
      <c r="P188" t="s">
        <v>346</v>
      </c>
      <c r="Q188">
        <v>227678</v>
      </c>
    </row>
    <row r="189" spans="1:17" x14ac:dyDescent="0.3">
      <c r="A189" t="s">
        <v>330</v>
      </c>
      <c r="B189" t="s">
        <v>331</v>
      </c>
      <c r="C189" t="s">
        <v>327</v>
      </c>
      <c r="D189" t="s">
        <v>332</v>
      </c>
      <c r="E189">
        <v>30</v>
      </c>
      <c r="F189" t="str">
        <f t="shared" si="5"/>
        <v>adult</v>
      </c>
      <c r="G189">
        <v>21</v>
      </c>
      <c r="H189">
        <v>68</v>
      </c>
      <c r="I189">
        <v>1</v>
      </c>
      <c r="J189">
        <v>1.65</v>
      </c>
      <c r="K189">
        <v>44771</v>
      </c>
      <c r="L189" t="s">
        <v>328</v>
      </c>
      <c r="M189">
        <v>59</v>
      </c>
      <c r="N189" t="s">
        <v>53</v>
      </c>
      <c r="O189">
        <v>166</v>
      </c>
      <c r="P189" t="s">
        <v>329</v>
      </c>
      <c r="Q189">
        <v>359849</v>
      </c>
    </row>
    <row r="190" spans="1:17" x14ac:dyDescent="0.3">
      <c r="A190" t="s">
        <v>540</v>
      </c>
      <c r="B190" t="s">
        <v>541</v>
      </c>
      <c r="C190" t="s">
        <v>537</v>
      </c>
      <c r="D190" t="s">
        <v>542</v>
      </c>
      <c r="E190">
        <v>28</v>
      </c>
      <c r="F190" t="str">
        <f t="shared" si="5"/>
        <v>adult</v>
      </c>
      <c r="G190">
        <v>-27</v>
      </c>
      <c r="H190">
        <v>102</v>
      </c>
      <c r="I190">
        <v>1</v>
      </c>
      <c r="J190">
        <v>1.68</v>
      </c>
      <c r="K190">
        <v>44706</v>
      </c>
      <c r="L190" t="s">
        <v>538</v>
      </c>
      <c r="M190">
        <v>59.9</v>
      </c>
      <c r="N190" t="s">
        <v>53</v>
      </c>
      <c r="O190">
        <v>175</v>
      </c>
      <c r="P190" t="s">
        <v>539</v>
      </c>
      <c r="Q190">
        <v>345836</v>
      </c>
    </row>
    <row r="191" spans="1:17" x14ac:dyDescent="0.3">
      <c r="A191" t="s">
        <v>596</v>
      </c>
      <c r="B191" t="s">
        <v>597</v>
      </c>
      <c r="C191" t="s">
        <v>593</v>
      </c>
      <c r="D191" t="s">
        <v>598</v>
      </c>
      <c r="E191">
        <v>43</v>
      </c>
      <c r="F191" t="str">
        <f t="shared" si="5"/>
        <v>adult</v>
      </c>
      <c r="G191">
        <v>-27</v>
      </c>
      <c r="H191">
        <v>102</v>
      </c>
      <c r="I191">
        <v>1</v>
      </c>
      <c r="J191">
        <v>1.71</v>
      </c>
      <c r="K191">
        <v>44641</v>
      </c>
      <c r="L191" t="s">
        <v>594</v>
      </c>
      <c r="M191">
        <v>63.5</v>
      </c>
      <c r="N191" t="s">
        <v>53</v>
      </c>
      <c r="O191">
        <v>198</v>
      </c>
      <c r="P191" t="s">
        <v>595</v>
      </c>
      <c r="Q191">
        <v>246355</v>
      </c>
    </row>
    <row r="192" spans="1:17" x14ac:dyDescent="0.3">
      <c r="A192" t="s">
        <v>626</v>
      </c>
      <c r="B192" t="s">
        <v>627</v>
      </c>
      <c r="C192" t="s">
        <v>623</v>
      </c>
      <c r="D192" t="s">
        <v>628</v>
      </c>
      <c r="E192">
        <v>41</v>
      </c>
      <c r="F192" t="str">
        <f t="shared" si="5"/>
        <v>adult</v>
      </c>
      <c r="G192">
        <v>-42</v>
      </c>
      <c r="H192">
        <v>117</v>
      </c>
      <c r="I192">
        <v>1</v>
      </c>
      <c r="J192">
        <v>1.68</v>
      </c>
      <c r="K192">
        <v>44772</v>
      </c>
      <c r="L192" t="s">
        <v>624</v>
      </c>
      <c r="M192">
        <v>59.9</v>
      </c>
      <c r="N192" t="s">
        <v>53</v>
      </c>
      <c r="O192">
        <v>221</v>
      </c>
      <c r="P192" t="s">
        <v>625</v>
      </c>
      <c r="Q192">
        <v>1521380</v>
      </c>
    </row>
  </sheetData>
  <dataConsolidate/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Cabral</dc:creator>
  <cp:lastModifiedBy>Aarthi Murthy</cp:lastModifiedBy>
  <dcterms:created xsi:type="dcterms:W3CDTF">2024-01-14T13:26:51Z</dcterms:created>
  <dcterms:modified xsi:type="dcterms:W3CDTF">2026-02-27T14:00:47Z</dcterms:modified>
</cp:coreProperties>
</file>